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oyal\Documents\BF6 Project\"/>
    </mc:Choice>
  </mc:AlternateContent>
  <xr:revisionPtr revIDLastSave="0" documentId="13_ncr:1_{12180F72-F205-494D-AF5B-E23AB4A72212}" xr6:coauthVersionLast="47" xr6:coauthVersionMax="47" xr10:uidLastSave="{00000000-0000-0000-0000-000000000000}"/>
  <bookViews>
    <workbookView xWindow="49890" yWindow="765" windowWidth="25995" windowHeight="17475" activeTab="1" xr2:uid="{00000000-000D-0000-FFFF-FFFF00000000}"/>
  </bookViews>
  <sheets>
    <sheet name="Reload Comparison" sheetId="1" r:id="rId1"/>
    <sheet name="Reload Comparison (2)" sheetId="3" r:id="rId2"/>
    <sheet name="Notes &amp; Data Gaps" sheetId="2" r:id="rId3"/>
  </sheets>
  <definedNames>
    <definedName name="_xlnm._FilterDatabase" localSheetId="0" hidden="1">'Reload Comparison'!$A$5:$N$18</definedName>
    <definedName name="_xlnm._FilterDatabase" localSheetId="1" hidden="1">'Reload Comparison (2)'!$A$5:$P$18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3" l="1"/>
  <c r="O22" i="3"/>
  <c r="O21" i="3"/>
  <c r="O19" i="3"/>
  <c r="M23" i="3"/>
  <c r="M22" i="3"/>
  <c r="M21" i="3"/>
  <c r="M20" i="3"/>
  <c r="M19" i="3"/>
  <c r="K23" i="3"/>
  <c r="K22" i="3"/>
  <c r="K21" i="3"/>
  <c r="K19" i="3"/>
  <c r="L23" i="3"/>
  <c r="L22" i="3"/>
  <c r="L21" i="3"/>
  <c r="L20" i="3"/>
  <c r="L19" i="3"/>
  <c r="J23" i="3"/>
  <c r="J22" i="3"/>
  <c r="J21" i="3"/>
  <c r="J19" i="3"/>
  <c r="F32" i="3"/>
  <c r="F33" i="3" s="1"/>
  <c r="M10" i="3"/>
  <c r="M9" i="3"/>
  <c r="M6" i="3"/>
  <c r="P28" i="3"/>
  <c r="F28" i="3"/>
  <c r="P27" i="3"/>
  <c r="I27" i="3"/>
  <c r="O18" i="3"/>
  <c r="N18" i="3"/>
  <c r="L18" i="3"/>
  <c r="M18" i="3" s="1"/>
  <c r="J18" i="3"/>
  <c r="K18" i="3" s="1"/>
  <c r="O17" i="3"/>
  <c r="N17" i="3"/>
  <c r="L17" i="3"/>
  <c r="M17" i="3" s="1"/>
  <c r="J17" i="3"/>
  <c r="K17" i="3" s="1"/>
  <c r="O16" i="3"/>
  <c r="N16" i="3"/>
  <c r="L16" i="3"/>
  <c r="M16" i="3" s="1"/>
  <c r="J16" i="3"/>
  <c r="K16" i="3" s="1"/>
  <c r="O15" i="3"/>
  <c r="N15" i="3"/>
  <c r="L15" i="3"/>
  <c r="M15" i="3" s="1"/>
  <c r="J15" i="3"/>
  <c r="K15" i="3" s="1"/>
  <c r="O14" i="3"/>
  <c r="N14" i="3"/>
  <c r="L14" i="3"/>
  <c r="M14" i="3" s="1"/>
  <c r="J14" i="3"/>
  <c r="K14" i="3" s="1"/>
  <c r="O13" i="3"/>
  <c r="N13" i="3"/>
  <c r="L13" i="3"/>
  <c r="M13" i="3" s="1"/>
  <c r="J13" i="3"/>
  <c r="K13" i="3" s="1"/>
  <c r="O12" i="3"/>
  <c r="N12" i="3"/>
  <c r="L12" i="3"/>
  <c r="M12" i="3" s="1"/>
  <c r="J12" i="3"/>
  <c r="K12" i="3" s="1"/>
  <c r="O11" i="3"/>
  <c r="N11" i="3"/>
  <c r="L11" i="3"/>
  <c r="M11" i="3" s="1"/>
  <c r="J11" i="3"/>
  <c r="K11" i="3" s="1"/>
  <c r="O10" i="3"/>
  <c r="N10" i="3"/>
  <c r="L10" i="3"/>
  <c r="J10" i="3"/>
  <c r="K10" i="3" s="1"/>
  <c r="O9" i="3"/>
  <c r="N9" i="3"/>
  <c r="L9" i="3"/>
  <c r="J9" i="3"/>
  <c r="K9" i="3" s="1"/>
  <c r="O8" i="3"/>
  <c r="N8" i="3"/>
  <c r="L8" i="3"/>
  <c r="M8" i="3" s="1"/>
  <c r="J8" i="3"/>
  <c r="K8" i="3" s="1"/>
  <c r="O7" i="3"/>
  <c r="N7" i="3"/>
  <c r="L7" i="3"/>
  <c r="M7" i="3" s="1"/>
  <c r="J7" i="3"/>
  <c r="K7" i="3" s="1"/>
  <c r="O6" i="3"/>
  <c r="N6" i="3"/>
  <c r="L6" i="3"/>
  <c r="J6" i="3"/>
  <c r="K6" i="3" s="1"/>
  <c r="L22" i="1"/>
  <c r="N21" i="1"/>
  <c r="F21" i="1"/>
  <c r="N20" i="1"/>
  <c r="I20"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M10" i="1"/>
  <c r="L10" i="1"/>
  <c r="K10" i="1"/>
  <c r="J10" i="1"/>
  <c r="M9" i="1"/>
  <c r="L9" i="1"/>
  <c r="K9" i="1"/>
  <c r="J9" i="1"/>
  <c r="M8" i="1"/>
  <c r="L8" i="1"/>
  <c r="K8" i="1"/>
  <c r="J8" i="1"/>
  <c r="M7" i="1"/>
  <c r="L7" i="1"/>
  <c r="K7" i="1"/>
  <c r="J7" i="1"/>
  <c r="M6" i="1"/>
  <c r="L6" i="1"/>
  <c r="K6" i="1"/>
  <c r="J6" i="1"/>
  <c r="N29" i="3" l="1"/>
</calcChain>
</file>

<file path=xl/sharedStrings.xml><?xml version="1.0" encoding="utf-8"?>
<sst xmlns="http://schemas.openxmlformats.org/spreadsheetml/2006/main" count="188" uniqueCount="73">
  <si>
    <t>BF6 Weapon Analyzer — Reload Speed: Magazine Type x Mag Catch</t>
  </si>
  <si>
    <t>Tactical reload, in seconds. Only weapons that have both a Fast magazine and the Mag Catch ergonomic are listed. Lower is faster.</t>
  </si>
  <si>
    <t>No Mag Catch</t>
  </si>
  <si>
    <t>With Mag Catch</t>
  </si>
  <si>
    <t>Time Saved vs. Baseline</t>
  </si>
  <si>
    <t>Class</t>
  </si>
  <si>
    <t>Weapon</t>
  </si>
  <si>
    <t>Regular Mag</t>
  </si>
  <si>
    <t>Fast Mag</t>
  </si>
  <si>
    <t>Fast Mag Cost (pts)</t>
  </si>
  <si>
    <t>Regular Mag (s)</t>
  </si>
  <si>
    <t>Fast Mag (s)</t>
  </si>
  <si>
    <t>Fast Mag alone (s)</t>
  </si>
  <si>
    <t>Mag Catch alone (s)</t>
  </si>
  <si>
    <t>Both (s)</t>
  </si>
  <si>
    <t>Both (%)</t>
  </si>
  <si>
    <t>Notes</t>
  </si>
  <si>
    <t>Assault Rifle</t>
  </si>
  <si>
    <t>TR7</t>
  </si>
  <si>
    <t>20 Rnd</t>
  </si>
  <si>
    <t>10 Fast</t>
  </si>
  <si>
    <t>TR7's 15 Rnd regular mag also reloads in 2.124 s; the default 20 Rnd is shown (see Notes)</t>
  </si>
  <si>
    <t>Carbine</t>
  </si>
  <si>
    <t>AK-205</t>
  </si>
  <si>
    <t>30 Rnd</t>
  </si>
  <si>
    <t>30 Fast</t>
  </si>
  <si>
    <t>Mag Catch values match the base magazine exactly — no modelled effect (see Notes)</t>
  </si>
  <si>
    <t>GRT-BC</t>
  </si>
  <si>
    <t>M277</t>
  </si>
  <si>
    <t>20 Fast</t>
  </si>
  <si>
    <t>Mag Catch is SLOWER than the base magazine here (see Notes)</t>
  </si>
  <si>
    <t>M4A1</t>
  </si>
  <si>
    <t>SG 553R</t>
  </si>
  <si>
    <t>DMR</t>
  </si>
  <si>
    <t>LMR27</t>
  </si>
  <si>
    <t>10 Rnd</t>
  </si>
  <si>
    <t>M39 EMR</t>
  </si>
  <si>
    <t>15 Fast</t>
  </si>
  <si>
    <t>SVDM</t>
  </si>
  <si>
    <t>SMG</t>
  </si>
  <si>
    <t>CZ3A1</t>
  </si>
  <si>
    <t>PW5A3</t>
  </si>
  <si>
    <t>PW7A2</t>
  </si>
  <si>
    <t>SCW-10</t>
  </si>
  <si>
    <t>15 Rnd</t>
  </si>
  <si>
    <t>Fastest possible (Fast Mag + Mag Catch)</t>
  </si>
  <si>
    <t>Slowest baseline (Regular Mag, no Mag Catch)</t>
  </si>
  <si>
    <t>Average saving, both equipped</t>
  </si>
  <si>
    <t>Notes, assumptions, and data gaps</t>
  </si>
  <si>
    <t>How these numbers were produced</t>
  </si>
  <si>
    <t>Every value comes from the analyzer's own applyAttachments() run over data/attachments.json, not from a separate calculation, so the four combinations match what the site displays.</t>
  </si>
  <si>
    <t>Source branch: codex/update-1.3.3.0 (v1.3.3.0 data). This is a TEST BUILD and is not the live site; live main is still v1.3.1.0, where these numbers may differ.</t>
  </si>
  <si>
    <t>Which magazines were used</t>
  </si>
  <si>
    <t>"Regular Mag" is each weapon's DEFAULT magazine, and "Fast Mag" is its first Fast variant. Weapons often carry several regular magazines with identical reload times, so the default is representative — with one exception, noted below.</t>
  </si>
  <si>
    <t>TR7: its 15 Rnd magazine is a regular (non-Fast) magazine that already reloads in 2.124 s, matching the Fast magazine. The 20 Rnd default shown in the table reloads in 2.400 s. Reading TR7's "regular mag" row as the weapon's worst case rather than its only case.</t>
  </si>
  <si>
    <t>Data gaps worth checking</t>
  </si>
  <si>
    <t>AK-205 and LMR27: their Mag Catch reload values in data/attachments.json are byte-identical to the base magazine values (AK-205 2484/2198 ms, LMR27 2854/2526 ms). Mag Catch therefore shows zero effect for both. That looks like a placeholder copied from the base magazine rather than a measured value, so treat those two rows as unverified rather than as evidence that Mag Catch does nothing.</t>
  </si>
  <si>
    <t>M277: Mag Catch makes the regular-magazine reload SLOWER (2.183 s to 2.243 s, +0.060 s) while still improving the Fast-magazine reload. Worth confirming against an in-game capture before relying on it.</t>
  </si>
  <si>
    <t>Weapons excluded</t>
  </si>
  <si>
    <t>These have Mag Catch but no Fast magazine, so the four-way comparison does not apply:</t>
  </si>
  <si>
    <t xml:space="preserve">    USG-90 (SMG) — no Fast magazine</t>
  </si>
  <si>
    <t xml:space="preserve">    SL9 (SMG) — no Fast magazine</t>
  </si>
  <si>
    <t xml:space="preserve">    SV-98 (Sniper Rifle) — no Fast magazine</t>
  </si>
  <si>
    <t xml:space="preserve">    PSR (Sniper Rifle) — no Fast magazine</t>
  </si>
  <si>
    <t>Scope</t>
  </si>
  <si>
    <t>Multiplayer only. Tactical reload (magazine not empty); empty reload is a separate field and is not compared here.</t>
  </si>
  <si>
    <t>Fast Mag alone (%)</t>
  </si>
  <si>
    <t>PP-19</t>
  </si>
  <si>
    <t>EF88</t>
  </si>
  <si>
    <t>BROD 3</t>
  </si>
  <si>
    <t>VSSM</t>
  </si>
  <si>
    <t>Mag Catch alone (%)</t>
  </si>
  <si>
    <t>53 Rnd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</si>
</sst>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9" x14ac:knownFonts="1">
    <font>
      <sz val="11"/>
      <color theme="1"/>
      <name val="Calibri"/>
      <family val="2"/>
      <scheme val="minor"/>
    </font>
    <font>
      <b/>
      <sz val="14"/>
      <name val="Arial"/>
      <family val="2"/>
    </font>
    <font>
      <i/>
      <sz val="10"/>
      <color rgb="FF555555"/>
      <name val="Arial"/>
      <family val="2"/>
    </font>
    <font>
      <b/>
      <sz val="10"/>
      <color rgb="FFFFFFFF"/>
      <name val="Arial"/>
      <family val="2"/>
    </font>
    <font>
      <b/>
      <sz val="10"/>
      <name val="Arial"/>
      <family val="2"/>
    </font>
    <font>
      <sz val="10"/>
      <name val="Arial"/>
      <family val="2"/>
    </font>
    <font>
      <i/>
      <sz val="9"/>
      <color rgb="FF8A6D1F"/>
      <name val="Arial"/>
      <family val="2"/>
    </font>
    <font>
      <b/>
      <sz val="11"/>
      <name val="Arial"/>
      <family val="2"/>
    </font>
    <font>
      <sz val="11"/>
      <color theme="1"/>
      <name val="Calibri"/>
      <family val="2"/>
      <scheme val="minor"/>
    </font>
  </fonts>
  <fills count="9">
    <fill>
      <patternFill patternType="none"/>
    </fill>
    <fill>
      <patternFill patternType="gray125"/>
    </fill>
    <fill>
      <patternFill patternType="solid">
        <fgColor rgb="FF1F3B4D"/>
      </patternFill>
    </fill>
    <fill>
      <patternFill patternType="solid">
        <fgColor rgb="FFFFF3CD"/>
      </patternFill>
    </fill>
    <fill>
      <patternFill patternType="solid">
        <fgColor rgb="FFE8EDF0"/>
      </patternFill>
    </fill>
    <fill>
      <patternFill patternType="solid">
        <fgColor rgb="FFFFC000"/>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9" tint="0.59999389629810485"/>
        <bgColor indexed="64"/>
      </patternFill>
    </fill>
  </fills>
  <borders count="2">
    <border>
      <left/>
      <right/>
      <top/>
      <bottom/>
      <diagonal/>
    </border>
    <border>
      <left style="thin">
        <color rgb="FFB7C2C9"/>
      </left>
      <right style="thin">
        <color rgb="FFB7C2C9"/>
      </right>
      <top style="thin">
        <color rgb="FFB7C2C9"/>
      </top>
      <bottom style="thin">
        <color rgb="FFB7C2C9"/>
      </bottom>
      <diagonal/>
    </border>
  </borders>
  <cellStyleXfs count="2">
    <xf numFmtId="0" fontId="0" fillId="0" borderId="0"/>
    <xf numFmtId="9" fontId="8" fillId="0" borderId="0" applyFont="0" applyFill="0" applyBorder="0" applyAlignment="0" applyProtection="0"/>
  </cellStyleXfs>
  <cellXfs count="4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5" fillId="3" borderId="1" xfId="0" applyFont="1" applyFill="1" applyBorder="1"/>
    <xf numFmtId="0" fontId="4" fillId="3" borderId="1" xfId="0" applyFont="1" applyFill="1" applyBorder="1"/>
    <xf numFmtId="0" fontId="5" fillId="3" borderId="1" xfId="0" applyFont="1" applyFill="1" applyBorder="1" applyAlignment="1">
      <alignment horizontal="center"/>
    </xf>
    <xf numFmtId="164" fontId="5" fillId="3" borderId="1" xfId="0" applyNumberFormat="1" applyFont="1" applyFill="1" applyBorder="1" applyAlignment="1">
      <alignment horizontal="center"/>
    </xf>
    <xf numFmtId="165" fontId="5" fillId="3" borderId="1" xfId="0" applyNumberFormat="1" applyFont="1" applyFill="1" applyBorder="1" applyAlignment="1">
      <alignment horizontal="center"/>
    </xf>
    <xf numFmtId="0" fontId="6" fillId="3" borderId="1" xfId="0" applyFont="1" applyFill="1" applyBorder="1" applyAlignment="1">
      <alignment vertical="center" wrapText="1"/>
    </xf>
    <xf numFmtId="0" fontId="5" fillId="0" borderId="1" xfId="0" applyFont="1" applyBorder="1"/>
    <xf numFmtId="0" fontId="4" fillId="0" borderId="1" xfId="0" applyFont="1" applyBorder="1"/>
    <xf numFmtId="0" fontId="5" fillId="0" borderId="1" xfId="0" applyFont="1" applyBorder="1" applyAlignment="1">
      <alignment horizontal="center"/>
    </xf>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0" fontId="6" fillId="0" borderId="1" xfId="0" applyFont="1" applyBorder="1" applyAlignment="1">
      <alignment vertical="center" wrapText="1"/>
    </xf>
    <xf numFmtId="0" fontId="0" fillId="4" borderId="0" xfId="0" applyFill="1"/>
    <xf numFmtId="0" fontId="4" fillId="4" borderId="0" xfId="0" applyFont="1" applyFill="1"/>
    <xf numFmtId="164" fontId="0" fillId="4" borderId="0" xfId="0" applyNumberFormat="1" applyFill="1" applyAlignment="1">
      <alignment horizontal="center"/>
    </xf>
    <xf numFmtId="164" fontId="4" fillId="4" borderId="0" xfId="0" applyNumberFormat="1" applyFont="1" applyFill="1" applyAlignment="1">
      <alignment horizontal="center"/>
    </xf>
    <xf numFmtId="0" fontId="7" fillId="0" borderId="0" xfId="0" applyFont="1" applyAlignment="1">
      <alignment vertical="top" wrapText="1"/>
    </xf>
    <xf numFmtId="0" fontId="5" fillId="0" borderId="0" xfId="0" applyFont="1" applyAlignment="1">
      <alignment vertical="top" wrapText="1"/>
    </xf>
    <xf numFmtId="0" fontId="5" fillId="3" borderId="0" xfId="0" applyFont="1" applyFill="1" applyAlignment="1">
      <alignment vertical="top" wrapText="1"/>
    </xf>
    <xf numFmtId="0" fontId="3" fillId="2" borderId="0" xfId="0" applyFont="1" applyFill="1" applyAlignment="1">
      <alignment horizontal="center"/>
    </xf>
    <xf numFmtId="0" fontId="0" fillId="0" borderId="0" xfId="0"/>
    <xf numFmtId="164" fontId="5" fillId="5" borderId="1" xfId="0" applyNumberFormat="1" applyFont="1" applyFill="1" applyBorder="1" applyAlignment="1">
      <alignment horizontal="center"/>
    </xf>
    <xf numFmtId="10" fontId="5" fillId="6" borderId="1" xfId="1" applyNumberFormat="1" applyFont="1" applyFill="1" applyBorder="1" applyAlignment="1">
      <alignment horizontal="center"/>
    </xf>
    <xf numFmtId="0" fontId="5" fillId="0" borderId="0" xfId="0" applyFont="1" applyBorder="1"/>
    <xf numFmtId="0" fontId="4" fillId="0" borderId="0" xfId="0" applyFont="1" applyBorder="1"/>
    <xf numFmtId="0" fontId="5" fillId="0" borderId="0" xfId="0" applyFont="1" applyBorder="1" applyAlignment="1">
      <alignment horizontal="center"/>
    </xf>
    <xf numFmtId="164" fontId="5" fillId="0" borderId="0" xfId="0" applyNumberFormat="1" applyFont="1" applyBorder="1" applyAlignment="1">
      <alignment horizontal="center"/>
    </xf>
    <xf numFmtId="10" fontId="5" fillId="6" borderId="0" xfId="1" applyNumberFormat="1" applyFont="1" applyFill="1" applyBorder="1" applyAlignment="1">
      <alignment horizontal="center"/>
    </xf>
    <xf numFmtId="0" fontId="6" fillId="0" borderId="0" xfId="0" applyFont="1" applyBorder="1" applyAlignment="1">
      <alignment vertical="center" wrapText="1"/>
    </xf>
    <xf numFmtId="164" fontId="5" fillId="6" borderId="0" xfId="0" applyNumberFormat="1" applyFont="1" applyFill="1" applyBorder="1" applyAlignment="1">
      <alignment horizontal="center"/>
    </xf>
    <xf numFmtId="10" fontId="5" fillId="7" borderId="1" xfId="0" applyNumberFormat="1" applyFont="1" applyFill="1" applyBorder="1" applyAlignment="1">
      <alignment horizontal="center"/>
    </xf>
    <xf numFmtId="10" fontId="5" fillId="7" borderId="0" xfId="0" applyNumberFormat="1" applyFont="1" applyFill="1" applyBorder="1" applyAlignment="1">
      <alignment horizontal="center"/>
    </xf>
    <xf numFmtId="164" fontId="0" fillId="0" borderId="0" xfId="0" applyNumberFormat="1"/>
    <xf numFmtId="0" fontId="5" fillId="8" borderId="1" xfId="0" applyFont="1" applyFill="1" applyBorder="1"/>
    <xf numFmtId="0" fontId="4" fillId="8" borderId="1" xfId="0" applyFont="1" applyFill="1" applyBorder="1"/>
    <xf numFmtId="0" fontId="5" fillId="8" borderId="1" xfId="0" applyFont="1" applyFill="1" applyBorder="1" applyAlignment="1">
      <alignment horizontal="center"/>
    </xf>
    <xf numFmtId="164" fontId="5" fillId="8" borderId="1"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workbookViewId="0">
      <pane xSplit="2" ySplit="5" topLeftCell="C6" activePane="bottomRight" state="frozen"/>
      <selection pane="topRight"/>
      <selection pane="bottomLeft"/>
      <selection pane="bottomRight" activeCell="B16" sqref="B16"/>
    </sheetView>
  </sheetViews>
  <sheetFormatPr defaultRowHeight="15" x14ac:dyDescent="0.25"/>
  <cols>
    <col min="1" max="1" width="14" customWidth="1"/>
    <col min="2" max="2" width="12" customWidth="1"/>
    <col min="3" max="3" width="13" customWidth="1"/>
    <col min="4" max="4" width="12" customWidth="1"/>
    <col min="5" max="5" width="11" customWidth="1"/>
    <col min="6" max="6" width="13" customWidth="1"/>
    <col min="7" max="7" width="12" customWidth="1"/>
    <col min="8" max="8" width="13" customWidth="1"/>
    <col min="9" max="10" width="12" customWidth="1"/>
    <col min="11" max="11" width="13" customWidth="1"/>
    <col min="12" max="13" width="10" customWidth="1"/>
    <col min="14" max="14" width="46" customWidth="1"/>
  </cols>
  <sheetData>
    <row r="1" spans="1:14" ht="18" x14ac:dyDescent="0.25">
      <c r="A1" s="1" t="s">
        <v>0</v>
      </c>
    </row>
    <row r="2" spans="1:14" x14ac:dyDescent="0.25">
      <c r="A2" s="2" t="s">
        <v>1</v>
      </c>
    </row>
    <row r="4" spans="1:14" x14ac:dyDescent="0.25">
      <c r="F4" s="23" t="s">
        <v>2</v>
      </c>
      <c r="G4" s="24"/>
      <c r="H4" s="23" t="s">
        <v>3</v>
      </c>
      <c r="I4" s="24"/>
      <c r="J4" s="23" t="s">
        <v>4</v>
      </c>
      <c r="K4" s="24"/>
      <c r="L4" s="24"/>
      <c r="M4" s="24"/>
    </row>
    <row r="5" spans="1:14" ht="42" customHeight="1" x14ac:dyDescent="0.25">
      <c r="A5" s="3" t="s">
        <v>5</v>
      </c>
      <c r="B5" s="3" t="s">
        <v>6</v>
      </c>
      <c r="C5" s="3" t="s">
        <v>7</v>
      </c>
      <c r="D5" s="3" t="s">
        <v>8</v>
      </c>
      <c r="E5" s="3" t="s">
        <v>9</v>
      </c>
      <c r="F5" s="3" t="s">
        <v>10</v>
      </c>
      <c r="G5" s="3" t="s">
        <v>11</v>
      </c>
      <c r="H5" s="3" t="s">
        <v>10</v>
      </c>
      <c r="I5" s="3" t="s">
        <v>11</v>
      </c>
      <c r="J5" s="3" t="s">
        <v>12</v>
      </c>
      <c r="K5" s="3" t="s">
        <v>13</v>
      </c>
      <c r="L5" s="3" t="s">
        <v>14</v>
      </c>
      <c r="M5" s="3" t="s">
        <v>15</v>
      </c>
      <c r="N5" s="3" t="s">
        <v>16</v>
      </c>
    </row>
    <row r="6" spans="1:14" ht="24" x14ac:dyDescent="0.25">
      <c r="A6" s="4" t="s">
        <v>17</v>
      </c>
      <c r="B6" s="5" t="s">
        <v>18</v>
      </c>
      <c r="C6" s="4" t="s">
        <v>19</v>
      </c>
      <c r="D6" s="4" t="s">
        <v>20</v>
      </c>
      <c r="E6" s="6">
        <v>5</v>
      </c>
      <c r="F6" s="7">
        <v>2.4</v>
      </c>
      <c r="G6" s="7">
        <v>2.1240000000000001</v>
      </c>
      <c r="H6" s="7">
        <v>2.258</v>
      </c>
      <c r="I6" s="7">
        <v>1.998</v>
      </c>
      <c r="J6" s="7">
        <f t="shared" ref="J6:J18" si="0">F6-G6</f>
        <v>0.2759999999999998</v>
      </c>
      <c r="K6" s="7">
        <f t="shared" ref="K6:K18" si="1">F6-H6</f>
        <v>0.1419999999999999</v>
      </c>
      <c r="L6" s="7">
        <f t="shared" ref="L6:L18" si="2">F6-I6</f>
        <v>0.40199999999999991</v>
      </c>
      <c r="M6" s="8">
        <f t="shared" ref="M6:M18" si="3">IF(F6=0,"",(F6-I6)/F6)</f>
        <v>0.16749999999999998</v>
      </c>
      <c r="N6" s="9" t="s">
        <v>21</v>
      </c>
    </row>
    <row r="7" spans="1:14" ht="24" x14ac:dyDescent="0.25">
      <c r="A7" s="4" t="s">
        <v>22</v>
      </c>
      <c r="B7" s="5" t="s">
        <v>23</v>
      </c>
      <c r="C7" s="4" t="s">
        <v>24</v>
      </c>
      <c r="D7" s="4" t="s">
        <v>25</v>
      </c>
      <c r="E7" s="6">
        <v>10</v>
      </c>
      <c r="F7" s="7">
        <v>2.484</v>
      </c>
      <c r="G7" s="7">
        <v>2.198</v>
      </c>
      <c r="H7" s="7">
        <v>2.484</v>
      </c>
      <c r="I7" s="7">
        <v>2.198</v>
      </c>
      <c r="J7" s="7">
        <f t="shared" si="0"/>
        <v>0.28600000000000003</v>
      </c>
      <c r="K7" s="7">
        <f t="shared" si="1"/>
        <v>0</v>
      </c>
      <c r="L7" s="7">
        <f t="shared" si="2"/>
        <v>0.28600000000000003</v>
      </c>
      <c r="M7" s="8">
        <f t="shared" si="3"/>
        <v>0.11513687600644124</v>
      </c>
      <c r="N7" s="9" t="s">
        <v>26</v>
      </c>
    </row>
    <row r="8" spans="1:14" x14ac:dyDescent="0.25">
      <c r="A8" s="10" t="s">
        <v>22</v>
      </c>
      <c r="B8" s="11" t="s">
        <v>27</v>
      </c>
      <c r="C8" s="10" t="s">
        <v>24</v>
      </c>
      <c r="D8" s="10" t="s">
        <v>25</v>
      </c>
      <c r="E8" s="12">
        <v>10</v>
      </c>
      <c r="F8" s="13">
        <v>2.5</v>
      </c>
      <c r="G8" s="13">
        <v>2.2120000000000002</v>
      </c>
      <c r="H8" s="13">
        <v>2.3519999999999999</v>
      </c>
      <c r="I8" s="13">
        <v>2.081</v>
      </c>
      <c r="J8" s="13">
        <f t="shared" si="0"/>
        <v>0.28799999999999981</v>
      </c>
      <c r="K8" s="13">
        <f t="shared" si="1"/>
        <v>0.14800000000000013</v>
      </c>
      <c r="L8" s="13">
        <f t="shared" si="2"/>
        <v>0.41900000000000004</v>
      </c>
      <c r="M8" s="14">
        <f t="shared" si="3"/>
        <v>0.16760000000000003</v>
      </c>
      <c r="N8" s="15"/>
    </row>
    <row r="9" spans="1:14" ht="24" x14ac:dyDescent="0.25">
      <c r="A9" s="4" t="s">
        <v>22</v>
      </c>
      <c r="B9" s="5" t="s">
        <v>28</v>
      </c>
      <c r="C9" s="4" t="s">
        <v>19</v>
      </c>
      <c r="D9" s="4" t="s">
        <v>29</v>
      </c>
      <c r="E9" s="6">
        <v>10</v>
      </c>
      <c r="F9" s="7">
        <v>2.1829999999999998</v>
      </c>
      <c r="G9" s="7">
        <v>2.11</v>
      </c>
      <c r="H9" s="7">
        <v>2.2429999999999999</v>
      </c>
      <c r="I9" s="7">
        <v>1.9850000000000001</v>
      </c>
      <c r="J9" s="7">
        <f t="shared" si="0"/>
        <v>7.2999999999999954E-2</v>
      </c>
      <c r="K9" s="7">
        <f t="shared" si="1"/>
        <v>-6.0000000000000053E-2</v>
      </c>
      <c r="L9" s="7">
        <f t="shared" si="2"/>
        <v>0.19799999999999973</v>
      </c>
      <c r="M9" s="8">
        <f t="shared" si="3"/>
        <v>9.070087036188719E-2</v>
      </c>
      <c r="N9" s="9" t="s">
        <v>30</v>
      </c>
    </row>
    <row r="10" spans="1:14" x14ac:dyDescent="0.25">
      <c r="A10" s="10" t="s">
        <v>22</v>
      </c>
      <c r="B10" s="11" t="s">
        <v>31</v>
      </c>
      <c r="C10" s="10" t="s">
        <v>24</v>
      </c>
      <c r="D10" s="10" t="s">
        <v>29</v>
      </c>
      <c r="E10" s="12">
        <v>5</v>
      </c>
      <c r="F10" s="13">
        <v>2.2000000000000002</v>
      </c>
      <c r="G10" s="13">
        <v>1.9470000000000001</v>
      </c>
      <c r="H10" s="13">
        <v>2.0699999999999998</v>
      </c>
      <c r="I10" s="13">
        <v>1.8320000000000001</v>
      </c>
      <c r="J10" s="13">
        <f t="shared" si="0"/>
        <v>0.25300000000000011</v>
      </c>
      <c r="K10" s="13">
        <f t="shared" si="1"/>
        <v>0.13000000000000034</v>
      </c>
      <c r="L10" s="13">
        <f t="shared" si="2"/>
        <v>0.3680000000000001</v>
      </c>
      <c r="M10" s="14">
        <f t="shared" si="3"/>
        <v>0.1672727272727273</v>
      </c>
      <c r="N10" s="15"/>
    </row>
    <row r="11" spans="1:14" x14ac:dyDescent="0.25">
      <c r="A11" s="10" t="s">
        <v>22</v>
      </c>
      <c r="B11" s="11" t="s">
        <v>32</v>
      </c>
      <c r="C11" s="10" t="s">
        <v>24</v>
      </c>
      <c r="D11" s="10" t="s">
        <v>29</v>
      </c>
      <c r="E11" s="12">
        <v>5</v>
      </c>
      <c r="F11" s="13">
        <v>2.5</v>
      </c>
      <c r="G11" s="13">
        <v>2.2120000000000002</v>
      </c>
      <c r="H11" s="13">
        <v>2.3519999999999999</v>
      </c>
      <c r="I11" s="13">
        <v>2.081</v>
      </c>
      <c r="J11" s="13">
        <f t="shared" si="0"/>
        <v>0.28799999999999981</v>
      </c>
      <c r="K11" s="13">
        <f t="shared" si="1"/>
        <v>0.14800000000000013</v>
      </c>
      <c r="L11" s="13">
        <f t="shared" si="2"/>
        <v>0.41900000000000004</v>
      </c>
      <c r="M11" s="14">
        <f t="shared" si="3"/>
        <v>0.16760000000000003</v>
      </c>
      <c r="N11" s="15"/>
    </row>
    <row r="12" spans="1:14" ht="24" x14ac:dyDescent="0.25">
      <c r="A12" s="4" t="s">
        <v>33</v>
      </c>
      <c r="B12" s="5" t="s">
        <v>34</v>
      </c>
      <c r="C12" s="4" t="s">
        <v>35</v>
      </c>
      <c r="D12" s="4" t="s">
        <v>20</v>
      </c>
      <c r="E12" s="6">
        <v>10</v>
      </c>
      <c r="F12" s="7">
        <v>2.8540000000000001</v>
      </c>
      <c r="G12" s="7">
        <v>2.5259999999999998</v>
      </c>
      <c r="H12" s="7">
        <v>2.8540000000000001</v>
      </c>
      <c r="I12" s="7">
        <v>2.5259999999999998</v>
      </c>
      <c r="J12" s="7">
        <f t="shared" si="0"/>
        <v>0.32800000000000029</v>
      </c>
      <c r="K12" s="7">
        <f t="shared" si="1"/>
        <v>0</v>
      </c>
      <c r="L12" s="7">
        <f t="shared" si="2"/>
        <v>0.32800000000000029</v>
      </c>
      <c r="M12" s="8">
        <f t="shared" si="3"/>
        <v>0.11492641906096716</v>
      </c>
      <c r="N12" s="9" t="s">
        <v>26</v>
      </c>
    </row>
    <row r="13" spans="1:14" x14ac:dyDescent="0.25">
      <c r="A13" s="10" t="s">
        <v>33</v>
      </c>
      <c r="B13" s="11" t="s">
        <v>36</v>
      </c>
      <c r="C13" s="10" t="s">
        <v>19</v>
      </c>
      <c r="D13" s="10" t="s">
        <v>37</v>
      </c>
      <c r="E13" s="12">
        <v>10</v>
      </c>
      <c r="F13" s="13">
        <v>2.5339999999999998</v>
      </c>
      <c r="G13" s="13">
        <v>2.242</v>
      </c>
      <c r="H13" s="13">
        <v>2.3839999999999999</v>
      </c>
      <c r="I13" s="13">
        <v>2.11</v>
      </c>
      <c r="J13" s="13">
        <f t="shared" si="0"/>
        <v>0.29199999999999982</v>
      </c>
      <c r="K13" s="13">
        <f t="shared" si="1"/>
        <v>0.14999999999999991</v>
      </c>
      <c r="L13" s="13">
        <f t="shared" si="2"/>
        <v>0.42399999999999993</v>
      </c>
      <c r="M13" s="14">
        <f t="shared" si="3"/>
        <v>0.16732438831886345</v>
      </c>
      <c r="N13" s="15"/>
    </row>
    <row r="14" spans="1:14" x14ac:dyDescent="0.25">
      <c r="A14" s="10" t="s">
        <v>33</v>
      </c>
      <c r="B14" s="11" t="s">
        <v>38</v>
      </c>
      <c r="C14" s="10" t="s">
        <v>35</v>
      </c>
      <c r="D14" s="10" t="s">
        <v>20</v>
      </c>
      <c r="E14" s="12">
        <v>10</v>
      </c>
      <c r="F14" s="13">
        <v>2.5</v>
      </c>
      <c r="G14" s="13">
        <v>2.2120000000000002</v>
      </c>
      <c r="H14" s="13">
        <v>2.3519999999999999</v>
      </c>
      <c r="I14" s="13">
        <v>2.081</v>
      </c>
      <c r="J14" s="13">
        <f t="shared" si="0"/>
        <v>0.28799999999999981</v>
      </c>
      <c r="K14" s="13">
        <f t="shared" si="1"/>
        <v>0.14800000000000013</v>
      </c>
      <c r="L14" s="13">
        <f t="shared" si="2"/>
        <v>0.41900000000000004</v>
      </c>
      <c r="M14" s="14">
        <f t="shared" si="3"/>
        <v>0.16760000000000003</v>
      </c>
      <c r="N14" s="15"/>
    </row>
    <row r="15" spans="1:14" x14ac:dyDescent="0.25">
      <c r="A15" s="10" t="s">
        <v>39</v>
      </c>
      <c r="B15" s="11" t="s">
        <v>40</v>
      </c>
      <c r="C15" s="10" t="s">
        <v>24</v>
      </c>
      <c r="D15" s="10" t="s">
        <v>29</v>
      </c>
      <c r="E15" s="12">
        <v>5</v>
      </c>
      <c r="F15" s="13">
        <v>2.2170000000000001</v>
      </c>
      <c r="G15" s="13">
        <v>1.962</v>
      </c>
      <c r="H15" s="13">
        <v>2.0859999999999999</v>
      </c>
      <c r="I15" s="13">
        <v>1.8460000000000001</v>
      </c>
      <c r="J15" s="13">
        <f t="shared" si="0"/>
        <v>0.25500000000000012</v>
      </c>
      <c r="K15" s="13">
        <f t="shared" si="1"/>
        <v>0.13100000000000023</v>
      </c>
      <c r="L15" s="13">
        <f t="shared" si="2"/>
        <v>0.371</v>
      </c>
      <c r="M15" s="14">
        <f t="shared" si="3"/>
        <v>0.16734325665313485</v>
      </c>
      <c r="N15" s="15"/>
    </row>
    <row r="16" spans="1:14" x14ac:dyDescent="0.25">
      <c r="A16" s="10" t="s">
        <v>39</v>
      </c>
      <c r="B16" s="11" t="s">
        <v>41</v>
      </c>
      <c r="C16" s="10" t="s">
        <v>24</v>
      </c>
      <c r="D16" s="10" t="s">
        <v>25</v>
      </c>
      <c r="E16" s="12">
        <v>10</v>
      </c>
      <c r="F16" s="13">
        <v>2.5169999999999999</v>
      </c>
      <c r="G16" s="13">
        <v>2.2269999999999999</v>
      </c>
      <c r="H16" s="13">
        <v>2.3679999999999999</v>
      </c>
      <c r="I16" s="13">
        <v>2.0950000000000002</v>
      </c>
      <c r="J16" s="13">
        <f t="shared" si="0"/>
        <v>0.29000000000000004</v>
      </c>
      <c r="K16" s="13">
        <f t="shared" si="1"/>
        <v>0.14900000000000002</v>
      </c>
      <c r="L16" s="13">
        <f t="shared" si="2"/>
        <v>0.42199999999999971</v>
      </c>
      <c r="M16" s="14">
        <f t="shared" si="3"/>
        <v>0.16765991259435825</v>
      </c>
      <c r="N16" s="15"/>
    </row>
    <row r="17" spans="1:14" x14ac:dyDescent="0.25">
      <c r="A17" s="10" t="s">
        <v>39</v>
      </c>
      <c r="B17" s="11" t="s">
        <v>42</v>
      </c>
      <c r="C17" s="10" t="s">
        <v>24</v>
      </c>
      <c r="D17" s="10" t="s">
        <v>25</v>
      </c>
      <c r="E17" s="12">
        <v>10</v>
      </c>
      <c r="F17" s="13">
        <v>2.1840000000000002</v>
      </c>
      <c r="G17" s="13">
        <v>1.9330000000000001</v>
      </c>
      <c r="H17" s="13">
        <v>2.0550000000000002</v>
      </c>
      <c r="I17" s="13">
        <v>1.8180000000000001</v>
      </c>
      <c r="J17" s="13">
        <f t="shared" si="0"/>
        <v>0.25100000000000011</v>
      </c>
      <c r="K17" s="13">
        <f t="shared" si="1"/>
        <v>0.129</v>
      </c>
      <c r="L17" s="13">
        <f t="shared" si="2"/>
        <v>0.3660000000000001</v>
      </c>
      <c r="M17" s="14">
        <f t="shared" si="3"/>
        <v>0.16758241758241763</v>
      </c>
      <c r="N17" s="15"/>
    </row>
    <row r="18" spans="1:14" x14ac:dyDescent="0.25">
      <c r="A18" s="10" t="s">
        <v>39</v>
      </c>
      <c r="B18" s="11" t="s">
        <v>43</v>
      </c>
      <c r="C18" s="10" t="s">
        <v>44</v>
      </c>
      <c r="D18" s="10" t="s">
        <v>37</v>
      </c>
      <c r="E18" s="12">
        <v>10</v>
      </c>
      <c r="F18" s="13">
        <v>2.6</v>
      </c>
      <c r="G18" s="13">
        <v>2.3010000000000002</v>
      </c>
      <c r="H18" s="13">
        <v>2.4460000000000002</v>
      </c>
      <c r="I18" s="13">
        <v>2.165</v>
      </c>
      <c r="J18" s="13">
        <f t="shared" si="0"/>
        <v>0.29899999999999993</v>
      </c>
      <c r="K18" s="13">
        <f t="shared" si="1"/>
        <v>0.15399999999999991</v>
      </c>
      <c r="L18" s="13">
        <f t="shared" si="2"/>
        <v>0.43500000000000005</v>
      </c>
      <c r="M18" s="14">
        <f t="shared" si="3"/>
        <v>0.16730769230769232</v>
      </c>
      <c r="N18" s="15"/>
    </row>
    <row r="20" spans="1:14" x14ac:dyDescent="0.25">
      <c r="A20" s="16"/>
      <c r="B20" s="17" t="s">
        <v>45</v>
      </c>
      <c r="C20" s="16"/>
      <c r="D20" s="16"/>
      <c r="E20" s="16"/>
      <c r="F20" s="18"/>
      <c r="G20" s="16"/>
      <c r="H20" s="16"/>
      <c r="I20" s="19">
        <f>MIN(I6:I18)</f>
        <v>1.8180000000000001</v>
      </c>
      <c r="J20" s="16"/>
      <c r="K20" s="16"/>
      <c r="L20" s="18"/>
      <c r="M20" s="16"/>
      <c r="N20" s="17" t="str">
        <f>INDEX(B6:B18,MATCH(MIN(I6:I18),I6:I18,0))</f>
        <v>PW7A2</v>
      </c>
    </row>
    <row r="21" spans="1:14" x14ac:dyDescent="0.25">
      <c r="A21" s="16"/>
      <c r="B21" s="17" t="s">
        <v>46</v>
      </c>
      <c r="C21" s="16"/>
      <c r="D21" s="16"/>
      <c r="E21" s="16"/>
      <c r="F21" s="19">
        <f>MAX(F6:F18)</f>
        <v>2.8540000000000001</v>
      </c>
      <c r="G21" s="16"/>
      <c r="H21" s="16"/>
      <c r="I21" s="18"/>
      <c r="J21" s="16"/>
      <c r="K21" s="16"/>
      <c r="L21" s="18"/>
      <c r="M21" s="16"/>
      <c r="N21" s="17" t="str">
        <f>INDEX(B6:B18,MATCH(MAX(F6:F18),F6:F18,0))</f>
        <v>LMR27</v>
      </c>
    </row>
    <row r="22" spans="1:14" x14ac:dyDescent="0.25">
      <c r="A22" s="16"/>
      <c r="B22" s="17" t="s">
        <v>47</v>
      </c>
      <c r="C22" s="16"/>
      <c r="D22" s="16"/>
      <c r="E22" s="16"/>
      <c r="F22" s="18"/>
      <c r="G22" s="16"/>
      <c r="H22" s="16"/>
      <c r="I22" s="18"/>
      <c r="J22" s="16"/>
      <c r="K22" s="16"/>
      <c r="L22" s="19">
        <f>AVERAGE(L6:L18)</f>
        <v>0.37361538461538457</v>
      </c>
      <c r="M22" s="16"/>
      <c r="N22" s="17"/>
    </row>
  </sheetData>
  <autoFilter ref="A5:N18" xr:uid="{00000000-0009-0000-0000-000000000000}"/>
  <mergeCells count="3">
    <mergeCell ref="F4:G4"/>
    <mergeCell ref="J4:M4"/>
    <mergeCell ref="H4:I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306B-A8B5-4470-8B5D-2BA7918C837A}">
  <dimension ref="A1:P33"/>
  <sheetViews>
    <sheetView tabSelected="1" workbookViewId="0">
      <pane xSplit="2" ySplit="5" topLeftCell="C6" activePane="bottomRight" state="frozen"/>
      <selection pane="topRight"/>
      <selection pane="bottomLeft"/>
      <selection pane="bottomRight" activeCell="J32" sqref="J32"/>
    </sheetView>
  </sheetViews>
  <sheetFormatPr defaultRowHeight="15" x14ac:dyDescent="0.25"/>
  <cols>
    <col min="1" max="1" width="14" customWidth="1"/>
    <col min="2" max="2" width="12" customWidth="1"/>
    <col min="3" max="3" width="13" customWidth="1"/>
    <col min="4" max="4" width="12" customWidth="1"/>
    <col min="5" max="5" width="11" customWidth="1"/>
    <col min="6" max="6" width="13" customWidth="1"/>
    <col min="7" max="7" width="12" customWidth="1"/>
    <col min="8" max="8" width="13" customWidth="1"/>
    <col min="9" max="11" width="12" customWidth="1"/>
    <col min="12" max="13" width="13" customWidth="1"/>
    <col min="14" max="15" width="10" customWidth="1"/>
    <col min="16" max="16" width="46" customWidth="1"/>
  </cols>
  <sheetData>
    <row r="1" spans="1:16" ht="18" x14ac:dyDescent="0.25">
      <c r="A1" s="1" t="s">
        <v>0</v>
      </c>
    </row>
    <row r="2" spans="1:16" x14ac:dyDescent="0.25">
      <c r="A2" s="2" t="s">
        <v>1</v>
      </c>
    </row>
    <row r="4" spans="1:16" x14ac:dyDescent="0.25">
      <c r="F4" s="23" t="s">
        <v>2</v>
      </c>
      <c r="G4" s="24"/>
      <c r="H4" s="23" t="s">
        <v>3</v>
      </c>
      <c r="I4" s="24"/>
      <c r="J4" s="23" t="s">
        <v>4</v>
      </c>
      <c r="K4" s="23"/>
      <c r="L4" s="24"/>
      <c r="M4" s="24"/>
      <c r="N4" s="24"/>
      <c r="O4" s="24"/>
    </row>
    <row r="5" spans="1:16" ht="42" customHeight="1" x14ac:dyDescent="0.25">
      <c r="A5" s="3" t="s">
        <v>5</v>
      </c>
      <c r="B5" s="3" t="s">
        <v>6</v>
      </c>
      <c r="C5" s="3" t="s">
        <v>7</v>
      </c>
      <c r="D5" s="3" t="s">
        <v>8</v>
      </c>
      <c r="E5" s="3" t="s">
        <v>9</v>
      </c>
      <c r="F5" s="3" t="s">
        <v>10</v>
      </c>
      <c r="G5" s="3" t="s">
        <v>11</v>
      </c>
      <c r="H5" s="3" t="s">
        <v>10</v>
      </c>
      <c r="I5" s="3" t="s">
        <v>11</v>
      </c>
      <c r="J5" s="3" t="s">
        <v>12</v>
      </c>
      <c r="K5" s="3" t="s">
        <v>66</v>
      </c>
      <c r="L5" s="3" t="s">
        <v>13</v>
      </c>
      <c r="M5" s="3" t="s">
        <v>71</v>
      </c>
      <c r="N5" s="3" t="s">
        <v>14</v>
      </c>
      <c r="O5" s="3" t="s">
        <v>15</v>
      </c>
      <c r="P5" s="3" t="s">
        <v>16</v>
      </c>
    </row>
    <row r="6" spans="1:16" ht="24" x14ac:dyDescent="0.25">
      <c r="A6" s="4" t="s">
        <v>17</v>
      </c>
      <c r="B6" s="5" t="s">
        <v>18</v>
      </c>
      <c r="C6" s="4" t="s">
        <v>19</v>
      </c>
      <c r="D6" s="4" t="s">
        <v>20</v>
      </c>
      <c r="E6" s="6">
        <v>5</v>
      </c>
      <c r="F6" s="7">
        <v>2.4</v>
      </c>
      <c r="G6" s="7">
        <v>2.1240000000000001</v>
      </c>
      <c r="H6" s="7">
        <v>2.258</v>
      </c>
      <c r="I6" s="7">
        <v>1.998</v>
      </c>
      <c r="J6" s="7">
        <f t="shared" ref="J6:J23" si="0">F6-G6</f>
        <v>0.2759999999999998</v>
      </c>
      <c r="K6" s="26">
        <f>J6/F6</f>
        <v>0.11499999999999992</v>
      </c>
      <c r="L6" s="7">
        <f t="shared" ref="L6:L23" si="1">F6-H6</f>
        <v>0.1419999999999999</v>
      </c>
      <c r="M6" s="26">
        <f>L6/H6</f>
        <v>6.2887511071744867E-2</v>
      </c>
      <c r="N6" s="7">
        <f t="shared" ref="N6:N18" si="2">F6-I6</f>
        <v>0.40199999999999991</v>
      </c>
      <c r="O6" s="34">
        <f t="shared" ref="O6:O23" si="3">IF(F6=0,"",(F6-I6)/F6)</f>
        <v>0.16749999999999998</v>
      </c>
      <c r="P6" s="9" t="s">
        <v>21</v>
      </c>
    </row>
    <row r="7" spans="1:16" ht="24" x14ac:dyDescent="0.25">
      <c r="A7" s="4" t="s">
        <v>22</v>
      </c>
      <c r="B7" s="5" t="s">
        <v>23</v>
      </c>
      <c r="C7" s="4" t="s">
        <v>24</v>
      </c>
      <c r="D7" s="4" t="s">
        <v>25</v>
      </c>
      <c r="E7" s="6">
        <v>10</v>
      </c>
      <c r="F7" s="7">
        <v>2.484</v>
      </c>
      <c r="G7" s="7">
        <v>2.198</v>
      </c>
      <c r="H7" s="25">
        <v>2.3370000000000002</v>
      </c>
      <c r="I7" s="25">
        <v>2.0680000000000001</v>
      </c>
      <c r="J7" s="7">
        <f t="shared" si="0"/>
        <v>0.28600000000000003</v>
      </c>
      <c r="K7" s="26">
        <f>J7/F7</f>
        <v>0.11513687600644124</v>
      </c>
      <c r="L7" s="7">
        <f t="shared" si="1"/>
        <v>0.1469999999999998</v>
      </c>
      <c r="M7" s="26">
        <f>L7/H7</f>
        <v>6.2901155327342653E-2</v>
      </c>
      <c r="N7" s="7">
        <f t="shared" si="2"/>
        <v>0.41599999999999993</v>
      </c>
      <c r="O7" s="34">
        <f t="shared" si="3"/>
        <v>0.16747181964573266</v>
      </c>
      <c r="P7" s="9" t="s">
        <v>26</v>
      </c>
    </row>
    <row r="8" spans="1:16" x14ac:dyDescent="0.25">
      <c r="A8" s="10" t="s">
        <v>22</v>
      </c>
      <c r="B8" s="11" t="s">
        <v>27</v>
      </c>
      <c r="C8" s="10" t="s">
        <v>24</v>
      </c>
      <c r="D8" s="10" t="s">
        <v>25</v>
      </c>
      <c r="E8" s="12">
        <v>10</v>
      </c>
      <c r="F8" s="13">
        <v>2.5</v>
      </c>
      <c r="G8" s="13">
        <v>2.2120000000000002</v>
      </c>
      <c r="H8" s="13">
        <v>2.3519999999999999</v>
      </c>
      <c r="I8" s="13">
        <v>2.081</v>
      </c>
      <c r="J8" s="13">
        <f t="shared" si="0"/>
        <v>0.28799999999999981</v>
      </c>
      <c r="K8" s="26">
        <f>J8/F8</f>
        <v>0.11519999999999993</v>
      </c>
      <c r="L8" s="13">
        <f t="shared" si="1"/>
        <v>0.14800000000000013</v>
      </c>
      <c r="M8" s="26">
        <f>L8/H8</f>
        <v>6.2925170068027267E-2</v>
      </c>
      <c r="N8" s="13">
        <f t="shared" si="2"/>
        <v>0.41900000000000004</v>
      </c>
      <c r="O8" s="34">
        <f t="shared" si="3"/>
        <v>0.16760000000000003</v>
      </c>
      <c r="P8" s="15"/>
    </row>
    <row r="9" spans="1:16" ht="24" x14ac:dyDescent="0.25">
      <c r="A9" s="4" t="s">
        <v>22</v>
      </c>
      <c r="B9" s="5" t="s">
        <v>28</v>
      </c>
      <c r="C9" s="4" t="s">
        <v>19</v>
      </c>
      <c r="D9" s="4" t="s">
        <v>29</v>
      </c>
      <c r="E9" s="6">
        <v>10</v>
      </c>
      <c r="F9" s="25">
        <v>2.3839999999999999</v>
      </c>
      <c r="G9" s="7">
        <v>2.11</v>
      </c>
      <c r="H9" s="7">
        <v>2.2429999999999999</v>
      </c>
      <c r="I9" s="7">
        <v>1.9850000000000001</v>
      </c>
      <c r="J9" s="7">
        <f t="shared" si="0"/>
        <v>0.27400000000000002</v>
      </c>
      <c r="K9" s="26">
        <f>J9/F9</f>
        <v>0.11493288590604028</v>
      </c>
      <c r="L9" s="7">
        <f t="shared" si="1"/>
        <v>0.14100000000000001</v>
      </c>
      <c r="M9" s="26">
        <f>L9/H9</f>
        <v>6.2862238074008037E-2</v>
      </c>
      <c r="N9" s="7">
        <f t="shared" si="2"/>
        <v>0.3989999999999998</v>
      </c>
      <c r="O9" s="34">
        <f t="shared" si="3"/>
        <v>0.16736577181208045</v>
      </c>
      <c r="P9" s="9" t="s">
        <v>30</v>
      </c>
    </row>
    <row r="10" spans="1:16" x14ac:dyDescent="0.25">
      <c r="A10" s="10" t="s">
        <v>22</v>
      </c>
      <c r="B10" s="11" t="s">
        <v>31</v>
      </c>
      <c r="C10" s="10" t="s">
        <v>24</v>
      </c>
      <c r="D10" s="10" t="s">
        <v>29</v>
      </c>
      <c r="E10" s="12">
        <v>5</v>
      </c>
      <c r="F10" s="13">
        <v>2.2000000000000002</v>
      </c>
      <c r="G10" s="13">
        <v>1.9470000000000001</v>
      </c>
      <c r="H10" s="13">
        <v>2.0699999999999998</v>
      </c>
      <c r="I10" s="13">
        <v>1.8320000000000001</v>
      </c>
      <c r="J10" s="13">
        <f t="shared" si="0"/>
        <v>0.25300000000000011</v>
      </c>
      <c r="K10" s="26">
        <f>J10/F10</f>
        <v>0.11500000000000005</v>
      </c>
      <c r="L10" s="13">
        <f t="shared" si="1"/>
        <v>0.13000000000000034</v>
      </c>
      <c r="M10" s="26">
        <f>L10/H10</f>
        <v>6.2801932367149926E-2</v>
      </c>
      <c r="N10" s="13">
        <f t="shared" si="2"/>
        <v>0.3680000000000001</v>
      </c>
      <c r="O10" s="34">
        <f t="shared" si="3"/>
        <v>0.1672727272727273</v>
      </c>
      <c r="P10" s="15"/>
    </row>
    <row r="11" spans="1:16" x14ac:dyDescent="0.25">
      <c r="A11" s="10" t="s">
        <v>22</v>
      </c>
      <c r="B11" s="11" t="s">
        <v>32</v>
      </c>
      <c r="C11" s="10" t="s">
        <v>24</v>
      </c>
      <c r="D11" s="10" t="s">
        <v>29</v>
      </c>
      <c r="E11" s="12">
        <v>5</v>
      </c>
      <c r="F11" s="13">
        <v>2.5</v>
      </c>
      <c r="G11" s="13">
        <v>2.2120000000000002</v>
      </c>
      <c r="H11" s="13">
        <v>2.3519999999999999</v>
      </c>
      <c r="I11" s="13">
        <v>2.081</v>
      </c>
      <c r="J11" s="13">
        <f t="shared" si="0"/>
        <v>0.28799999999999981</v>
      </c>
      <c r="K11" s="26">
        <f>J11/F11</f>
        <v>0.11519999999999993</v>
      </c>
      <c r="L11" s="13">
        <f t="shared" si="1"/>
        <v>0.14800000000000013</v>
      </c>
      <c r="M11" s="26">
        <f>L11/H11</f>
        <v>6.2925170068027267E-2</v>
      </c>
      <c r="N11" s="13">
        <f t="shared" si="2"/>
        <v>0.41900000000000004</v>
      </c>
      <c r="O11" s="34">
        <f t="shared" si="3"/>
        <v>0.16760000000000003</v>
      </c>
      <c r="P11" s="15"/>
    </row>
    <row r="12" spans="1:16" ht="24" x14ac:dyDescent="0.25">
      <c r="A12" s="4" t="s">
        <v>33</v>
      </c>
      <c r="B12" s="5" t="s">
        <v>34</v>
      </c>
      <c r="C12" s="4" t="s">
        <v>35</v>
      </c>
      <c r="D12" s="4" t="s">
        <v>20</v>
      </c>
      <c r="E12" s="6">
        <v>10</v>
      </c>
      <c r="F12" s="25">
        <v>3.0339999999999998</v>
      </c>
      <c r="G12" s="25">
        <v>2.6850000000000001</v>
      </c>
      <c r="H12" s="7">
        <v>2.8540000000000001</v>
      </c>
      <c r="I12" s="7">
        <v>2.5259999999999998</v>
      </c>
      <c r="J12" s="7">
        <f t="shared" si="0"/>
        <v>0.34899999999999975</v>
      </c>
      <c r="K12" s="26">
        <f>J12/F12</f>
        <v>0.11502966381015155</v>
      </c>
      <c r="L12" s="7">
        <f t="shared" si="1"/>
        <v>0.17999999999999972</v>
      </c>
      <c r="M12" s="26">
        <f>L12/H12</f>
        <v>6.3069376313945241E-2</v>
      </c>
      <c r="N12" s="7">
        <f t="shared" si="2"/>
        <v>0.50800000000000001</v>
      </c>
      <c r="O12" s="34">
        <f t="shared" si="3"/>
        <v>0.16743572841133819</v>
      </c>
      <c r="P12" s="9" t="s">
        <v>26</v>
      </c>
    </row>
    <row r="13" spans="1:16" x14ac:dyDescent="0.25">
      <c r="A13" s="10" t="s">
        <v>33</v>
      </c>
      <c r="B13" s="11" t="s">
        <v>36</v>
      </c>
      <c r="C13" s="10" t="s">
        <v>19</v>
      </c>
      <c r="D13" s="10" t="s">
        <v>37</v>
      </c>
      <c r="E13" s="12">
        <v>10</v>
      </c>
      <c r="F13" s="13">
        <v>2.5339999999999998</v>
      </c>
      <c r="G13" s="13">
        <v>2.242</v>
      </c>
      <c r="H13" s="13">
        <v>2.3839999999999999</v>
      </c>
      <c r="I13" s="13">
        <v>2.11</v>
      </c>
      <c r="J13" s="13">
        <f t="shared" si="0"/>
        <v>0.29199999999999982</v>
      </c>
      <c r="K13" s="26">
        <f>J13/F13</f>
        <v>0.1152328334648776</v>
      </c>
      <c r="L13" s="13">
        <f t="shared" si="1"/>
        <v>0.14999999999999991</v>
      </c>
      <c r="M13" s="26">
        <f>L13/H13</f>
        <v>6.2919463087248287E-2</v>
      </c>
      <c r="N13" s="13">
        <f t="shared" si="2"/>
        <v>0.42399999999999993</v>
      </c>
      <c r="O13" s="34">
        <f t="shared" si="3"/>
        <v>0.16732438831886345</v>
      </c>
      <c r="P13" s="15"/>
    </row>
    <row r="14" spans="1:16" x14ac:dyDescent="0.25">
      <c r="A14" s="10" t="s">
        <v>33</v>
      </c>
      <c r="B14" s="11" t="s">
        <v>38</v>
      </c>
      <c r="C14" s="10" t="s">
        <v>35</v>
      </c>
      <c r="D14" s="10" t="s">
        <v>20</v>
      </c>
      <c r="E14" s="12">
        <v>10</v>
      </c>
      <c r="F14" s="13">
        <v>2.5</v>
      </c>
      <c r="G14" s="13">
        <v>2.2120000000000002</v>
      </c>
      <c r="H14" s="13">
        <v>2.3519999999999999</v>
      </c>
      <c r="I14" s="13">
        <v>2.081</v>
      </c>
      <c r="J14" s="13">
        <f t="shared" si="0"/>
        <v>0.28799999999999981</v>
      </c>
      <c r="K14" s="26">
        <f>J14/F14</f>
        <v>0.11519999999999993</v>
      </c>
      <c r="L14" s="13">
        <f t="shared" si="1"/>
        <v>0.14800000000000013</v>
      </c>
      <c r="M14" s="26">
        <f>L14/H14</f>
        <v>6.2925170068027267E-2</v>
      </c>
      <c r="N14" s="13">
        <f t="shared" si="2"/>
        <v>0.41900000000000004</v>
      </c>
      <c r="O14" s="34">
        <f t="shared" si="3"/>
        <v>0.16760000000000003</v>
      </c>
      <c r="P14" s="15"/>
    </row>
    <row r="15" spans="1:16" x14ac:dyDescent="0.25">
      <c r="A15" s="10" t="s">
        <v>39</v>
      </c>
      <c r="B15" s="11" t="s">
        <v>40</v>
      </c>
      <c r="C15" s="10" t="s">
        <v>24</v>
      </c>
      <c r="D15" s="10" t="s">
        <v>29</v>
      </c>
      <c r="E15" s="12">
        <v>5</v>
      </c>
      <c r="F15" s="13">
        <v>2.2170000000000001</v>
      </c>
      <c r="G15" s="13">
        <v>1.962</v>
      </c>
      <c r="H15" s="13">
        <v>2.0859999999999999</v>
      </c>
      <c r="I15" s="13">
        <v>1.8460000000000001</v>
      </c>
      <c r="J15" s="13">
        <f t="shared" si="0"/>
        <v>0.25500000000000012</v>
      </c>
      <c r="K15" s="26">
        <f>J15/F15</f>
        <v>0.1150202976995941</v>
      </c>
      <c r="L15" s="13">
        <f t="shared" si="1"/>
        <v>0.13100000000000023</v>
      </c>
      <c r="M15" s="26">
        <f>L15/H15</f>
        <v>6.2799616490891774E-2</v>
      </c>
      <c r="N15" s="13">
        <f t="shared" si="2"/>
        <v>0.371</v>
      </c>
      <c r="O15" s="34">
        <f t="shared" si="3"/>
        <v>0.16734325665313485</v>
      </c>
      <c r="P15" s="15"/>
    </row>
    <row r="16" spans="1:16" x14ac:dyDescent="0.25">
      <c r="A16" s="10" t="s">
        <v>39</v>
      </c>
      <c r="B16" s="11" t="s">
        <v>41</v>
      </c>
      <c r="C16" s="10" t="s">
        <v>24</v>
      </c>
      <c r="D16" s="10" t="s">
        <v>25</v>
      </c>
      <c r="E16" s="12">
        <v>10</v>
      </c>
      <c r="F16" s="13">
        <v>2.5169999999999999</v>
      </c>
      <c r="G16" s="13">
        <v>2.2269999999999999</v>
      </c>
      <c r="H16" s="13">
        <v>2.3679999999999999</v>
      </c>
      <c r="I16" s="13">
        <v>2.0950000000000002</v>
      </c>
      <c r="J16" s="13">
        <f t="shared" si="0"/>
        <v>0.29000000000000004</v>
      </c>
      <c r="K16" s="26">
        <f>J16/F16</f>
        <v>0.1152165276122368</v>
      </c>
      <c r="L16" s="13">
        <f t="shared" si="1"/>
        <v>0.14900000000000002</v>
      </c>
      <c r="M16" s="26">
        <f>L16/H16</f>
        <v>6.2922297297297314E-2</v>
      </c>
      <c r="N16" s="13">
        <f t="shared" si="2"/>
        <v>0.42199999999999971</v>
      </c>
      <c r="O16" s="34">
        <f t="shared" si="3"/>
        <v>0.16765991259435825</v>
      </c>
      <c r="P16" s="15"/>
    </row>
    <row r="17" spans="1:16" x14ac:dyDescent="0.25">
      <c r="A17" s="10" t="s">
        <v>39</v>
      </c>
      <c r="B17" s="11" t="s">
        <v>42</v>
      </c>
      <c r="C17" s="10" t="s">
        <v>24</v>
      </c>
      <c r="D17" s="10" t="s">
        <v>25</v>
      </c>
      <c r="E17" s="12">
        <v>10</v>
      </c>
      <c r="F17" s="13">
        <v>2.1840000000000002</v>
      </c>
      <c r="G17" s="13">
        <v>1.9330000000000001</v>
      </c>
      <c r="H17" s="13">
        <v>2.0550000000000002</v>
      </c>
      <c r="I17" s="13">
        <v>1.8180000000000001</v>
      </c>
      <c r="J17" s="13">
        <f t="shared" si="0"/>
        <v>0.25100000000000011</v>
      </c>
      <c r="K17" s="26">
        <f>J17/F17</f>
        <v>0.11492673992673996</v>
      </c>
      <c r="L17" s="13">
        <f t="shared" si="1"/>
        <v>0.129</v>
      </c>
      <c r="M17" s="26">
        <f>L17/H17</f>
        <v>6.2773722627737227E-2</v>
      </c>
      <c r="N17" s="13">
        <f t="shared" si="2"/>
        <v>0.3660000000000001</v>
      </c>
      <c r="O17" s="34">
        <f t="shared" si="3"/>
        <v>0.16758241758241763</v>
      </c>
      <c r="P17" s="15"/>
    </row>
    <row r="18" spans="1:16" x14ac:dyDescent="0.25">
      <c r="A18" s="10" t="s">
        <v>39</v>
      </c>
      <c r="B18" s="11" t="s">
        <v>43</v>
      </c>
      <c r="C18" s="10" t="s">
        <v>44</v>
      </c>
      <c r="D18" s="10" t="s">
        <v>37</v>
      </c>
      <c r="E18" s="12">
        <v>10</v>
      </c>
      <c r="F18" s="13">
        <v>2.6</v>
      </c>
      <c r="G18" s="13">
        <v>2.3010000000000002</v>
      </c>
      <c r="H18" s="13">
        <v>2.4460000000000002</v>
      </c>
      <c r="I18" s="13">
        <v>2.165</v>
      </c>
      <c r="J18" s="13">
        <f t="shared" si="0"/>
        <v>0.29899999999999993</v>
      </c>
      <c r="K18" s="26">
        <f>J18/F18</f>
        <v>0.11499999999999996</v>
      </c>
      <c r="L18" s="13">
        <f t="shared" si="1"/>
        <v>0.15399999999999991</v>
      </c>
      <c r="M18" s="26">
        <f t="shared" ref="M18:M23" si="4">L18/H18</f>
        <v>6.2959934587080907E-2</v>
      </c>
      <c r="N18" s="13">
        <f t="shared" si="2"/>
        <v>0.43500000000000005</v>
      </c>
      <c r="O18" s="34">
        <f t="shared" si="3"/>
        <v>0.16730769230769232</v>
      </c>
      <c r="P18" s="15"/>
    </row>
    <row r="19" spans="1:16" x14ac:dyDescent="0.25">
      <c r="A19" s="37" t="s">
        <v>39</v>
      </c>
      <c r="B19" s="38" t="s">
        <v>67</v>
      </c>
      <c r="C19" s="37" t="s">
        <v>24</v>
      </c>
      <c r="D19" s="37"/>
      <c r="E19" s="39"/>
      <c r="F19" s="40">
        <v>2.4670000000000001</v>
      </c>
      <c r="G19" s="40">
        <v>2.1829999999999998</v>
      </c>
      <c r="H19" s="40">
        <v>2.3210000000000002</v>
      </c>
      <c r="I19" s="40">
        <v>2.0539999999999998</v>
      </c>
      <c r="J19" s="40">
        <f t="shared" si="0"/>
        <v>0.28400000000000025</v>
      </c>
      <c r="K19" s="26">
        <f t="shared" ref="K19:K23" si="5">J19/F19</f>
        <v>0.11511957843534668</v>
      </c>
      <c r="L19" s="40">
        <f t="shared" si="1"/>
        <v>0.14599999999999991</v>
      </c>
      <c r="M19" s="26">
        <f t="shared" si="4"/>
        <v>6.290392072382589E-2</v>
      </c>
      <c r="N19" s="40"/>
      <c r="O19" s="34">
        <f t="shared" si="3"/>
        <v>0.16740980948520481</v>
      </c>
      <c r="P19" s="32"/>
    </row>
    <row r="20" spans="1:16" x14ac:dyDescent="0.25">
      <c r="A20" s="37" t="s">
        <v>39</v>
      </c>
      <c r="B20" s="38" t="s">
        <v>67</v>
      </c>
      <c r="C20" s="37" t="s">
        <v>72</v>
      </c>
      <c r="D20" s="37"/>
      <c r="E20" s="39"/>
      <c r="F20" s="40">
        <v>2.6669999999999998</v>
      </c>
      <c r="G20" s="40"/>
      <c r="H20" s="40">
        <v>2.5089999999999999</v>
      </c>
      <c r="I20" s="40"/>
      <c r="J20" s="40"/>
      <c r="K20" s="26"/>
      <c r="L20" s="40">
        <f t="shared" si="1"/>
        <v>0.15799999999999992</v>
      </c>
      <c r="M20" s="26">
        <f t="shared" si="4"/>
        <v>6.2973296133917861E-2</v>
      </c>
      <c r="N20" s="40"/>
      <c r="O20" s="34"/>
      <c r="P20" s="32"/>
    </row>
    <row r="21" spans="1:16" x14ac:dyDescent="0.25">
      <c r="A21" s="37" t="s">
        <v>17</v>
      </c>
      <c r="B21" s="38" t="s">
        <v>68</v>
      </c>
      <c r="C21" s="37"/>
      <c r="D21" s="37"/>
      <c r="E21" s="39"/>
      <c r="F21" s="40">
        <v>2.4159999999999999</v>
      </c>
      <c r="G21" s="40">
        <v>2.1379999999999999</v>
      </c>
      <c r="H21" s="40">
        <v>2.2730000000000001</v>
      </c>
      <c r="I21" s="40">
        <v>2.0110000000000001</v>
      </c>
      <c r="J21" s="40">
        <f t="shared" si="0"/>
        <v>0.27800000000000002</v>
      </c>
      <c r="K21" s="26">
        <f t="shared" si="5"/>
        <v>0.11506622516556293</v>
      </c>
      <c r="L21" s="40">
        <f t="shared" si="1"/>
        <v>0.14299999999999979</v>
      </c>
      <c r="M21" s="26">
        <f t="shared" si="4"/>
        <v>6.2912450505939188E-2</v>
      </c>
      <c r="N21" s="40"/>
      <c r="O21" s="34">
        <f t="shared" si="3"/>
        <v>0.16763245033112575</v>
      </c>
      <c r="P21" s="32"/>
    </row>
    <row r="22" spans="1:16" x14ac:dyDescent="0.25">
      <c r="A22" s="37" t="s">
        <v>22</v>
      </c>
      <c r="B22" s="38" t="s">
        <v>69</v>
      </c>
      <c r="C22" s="37"/>
      <c r="D22" s="37"/>
      <c r="E22" s="39"/>
      <c r="F22" s="40">
        <v>2.2170000000000001</v>
      </c>
      <c r="G22" s="40">
        <v>1.962</v>
      </c>
      <c r="H22" s="40">
        <v>2.0859999999999999</v>
      </c>
      <c r="I22" s="40">
        <v>1.8460000000000001</v>
      </c>
      <c r="J22" s="40">
        <f t="shared" si="0"/>
        <v>0.25500000000000012</v>
      </c>
      <c r="K22" s="26">
        <f t="shared" si="5"/>
        <v>0.1150202976995941</v>
      </c>
      <c r="L22" s="40">
        <f t="shared" si="1"/>
        <v>0.13100000000000023</v>
      </c>
      <c r="M22" s="26">
        <f t="shared" si="4"/>
        <v>6.2799616490891774E-2</v>
      </c>
      <c r="N22" s="40"/>
      <c r="O22" s="34">
        <f t="shared" si="3"/>
        <v>0.16734325665313485</v>
      </c>
      <c r="P22" s="32"/>
    </row>
    <row r="23" spans="1:16" x14ac:dyDescent="0.25">
      <c r="A23" s="37" t="s">
        <v>33</v>
      </c>
      <c r="B23" s="38" t="s">
        <v>70</v>
      </c>
      <c r="C23" s="37"/>
      <c r="D23" s="37"/>
      <c r="E23" s="39"/>
      <c r="F23" s="40">
        <v>2.4670000000000001</v>
      </c>
      <c r="G23" s="40">
        <v>2.1829999999999998</v>
      </c>
      <c r="H23" s="40">
        <v>2.3210000000000002</v>
      </c>
      <c r="I23" s="40">
        <v>2.0539999999999998</v>
      </c>
      <c r="J23" s="40">
        <f t="shared" si="0"/>
        <v>0.28400000000000025</v>
      </c>
      <c r="K23" s="26">
        <f t="shared" si="5"/>
        <v>0.11511957843534668</v>
      </c>
      <c r="L23" s="40">
        <f t="shared" si="1"/>
        <v>0.14599999999999991</v>
      </c>
      <c r="M23" s="26">
        <f t="shared" si="4"/>
        <v>6.290392072382589E-2</v>
      </c>
      <c r="N23" s="40"/>
      <c r="O23" s="34">
        <f t="shared" si="3"/>
        <v>0.16740980948520481</v>
      </c>
      <c r="P23" s="32"/>
    </row>
    <row r="24" spans="1:16" x14ac:dyDescent="0.25">
      <c r="A24" s="27"/>
      <c r="B24" s="28"/>
      <c r="C24" s="27"/>
      <c r="D24" s="27"/>
      <c r="E24" s="29"/>
      <c r="F24" s="30"/>
      <c r="G24" s="30"/>
      <c r="H24" s="30"/>
      <c r="I24" s="30"/>
      <c r="J24" s="30"/>
      <c r="K24" s="31"/>
      <c r="L24" s="30"/>
      <c r="M24" s="33"/>
      <c r="N24" s="30"/>
      <c r="O24" s="35"/>
      <c r="P24" s="32"/>
    </row>
    <row r="25" spans="1:16" x14ac:dyDescent="0.25">
      <c r="A25" s="27"/>
      <c r="B25" s="28"/>
      <c r="C25" s="27"/>
      <c r="D25" s="27"/>
      <c r="E25" s="29"/>
      <c r="F25" s="30"/>
      <c r="G25" s="30"/>
      <c r="H25" s="30"/>
      <c r="I25" s="30"/>
      <c r="J25" s="30"/>
      <c r="K25" s="31"/>
      <c r="L25" s="30"/>
      <c r="M25" s="33"/>
      <c r="N25" s="30"/>
      <c r="O25" s="35"/>
      <c r="P25" s="32"/>
    </row>
    <row r="27" spans="1:16" x14ac:dyDescent="0.25">
      <c r="A27" s="16"/>
      <c r="B27" s="17" t="s">
        <v>45</v>
      </c>
      <c r="C27" s="16"/>
      <c r="D27" s="16"/>
      <c r="E27" s="16"/>
      <c r="F27" s="18"/>
      <c r="G27" s="16"/>
      <c r="H27" s="16"/>
      <c r="I27" s="19">
        <f>MIN(I6:I18)</f>
        <v>1.8180000000000001</v>
      </c>
      <c r="J27" s="16"/>
      <c r="K27" s="16"/>
      <c r="L27" s="16"/>
      <c r="M27" s="16"/>
      <c r="N27" s="18"/>
      <c r="O27" s="16"/>
      <c r="P27" s="17" t="str">
        <f>INDEX(B6:B18,MATCH(MIN(I6:I18),I6:I18,0))</f>
        <v>PW7A2</v>
      </c>
    </row>
    <row r="28" spans="1:16" x14ac:dyDescent="0.25">
      <c r="A28" s="16"/>
      <c r="B28" s="17" t="s">
        <v>46</v>
      </c>
      <c r="C28" s="16"/>
      <c r="D28" s="16"/>
      <c r="E28" s="16"/>
      <c r="F28" s="19">
        <f>MAX(F6:F18)</f>
        <v>3.0339999999999998</v>
      </c>
      <c r="G28" s="16"/>
      <c r="H28" s="16"/>
      <c r="I28" s="18"/>
      <c r="J28" s="16"/>
      <c r="K28" s="16"/>
      <c r="L28" s="16"/>
      <c r="M28" s="16"/>
      <c r="N28" s="18"/>
      <c r="O28" s="16"/>
      <c r="P28" s="17" t="str">
        <f>INDEX(B6:B18,MATCH(MAX(F6:F18),F6:F18,0))</f>
        <v>LMR27</v>
      </c>
    </row>
    <row r="29" spans="1:16" x14ac:dyDescent="0.25">
      <c r="A29" s="16"/>
      <c r="B29" s="17" t="s">
        <v>47</v>
      </c>
      <c r="C29" s="16"/>
      <c r="D29" s="16"/>
      <c r="E29" s="16"/>
      <c r="F29" s="18"/>
      <c r="G29" s="16"/>
      <c r="H29" s="16"/>
      <c r="I29" s="18"/>
      <c r="J29" s="16"/>
      <c r="K29" s="16"/>
      <c r="L29" s="16"/>
      <c r="M29" s="16"/>
      <c r="N29" s="19">
        <f>AVERAGE(N6:N18)</f>
        <v>0.41292307692307695</v>
      </c>
      <c r="O29" s="16"/>
      <c r="P29" s="17"/>
    </row>
    <row r="32" spans="1:16" x14ac:dyDescent="0.25">
      <c r="F32" s="36">
        <f>F20-F19</f>
        <v>0.19999999999999973</v>
      </c>
    </row>
    <row r="33" spans="6:6" x14ac:dyDescent="0.25">
      <c r="F33">
        <f>F32/F19</f>
        <v>8.1070125658694661E-2</v>
      </c>
    </row>
  </sheetData>
  <autoFilter ref="A5:P18" xr:uid="{00000000-0009-0000-0000-000000000000}"/>
  <mergeCells count="3">
    <mergeCell ref="F4:G4"/>
    <mergeCell ref="H4:I4"/>
    <mergeCell ref="J4:O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heetViews>
  <sheetFormatPr defaultRowHeight="15" x14ac:dyDescent="0.25"/>
  <cols>
    <col min="1" max="1" width="118" customWidth="1"/>
  </cols>
  <sheetData>
    <row r="1" spans="1:1" ht="18" x14ac:dyDescent="0.25">
      <c r="A1" s="1" t="s">
        <v>48</v>
      </c>
    </row>
    <row r="3" spans="1:1" ht="15" customHeight="1" x14ac:dyDescent="0.25">
      <c r="A3" s="20" t="s">
        <v>49</v>
      </c>
    </row>
    <row r="4" spans="1:1" ht="30" customHeight="1" x14ac:dyDescent="0.25">
      <c r="A4" s="21" t="s">
        <v>50</v>
      </c>
    </row>
    <row r="5" spans="1:1" ht="30" customHeight="1" x14ac:dyDescent="0.25">
      <c r="A5" s="21" t="s">
        <v>51</v>
      </c>
    </row>
    <row r="6" spans="1:1" ht="15" customHeight="1" x14ac:dyDescent="0.25">
      <c r="A6" s="21"/>
    </row>
    <row r="7" spans="1:1" ht="15" customHeight="1" x14ac:dyDescent="0.25">
      <c r="A7" s="20" t="s">
        <v>52</v>
      </c>
    </row>
    <row r="8" spans="1:1" ht="30" customHeight="1" x14ac:dyDescent="0.25">
      <c r="A8" s="21" t="s">
        <v>53</v>
      </c>
    </row>
    <row r="9" spans="1:1" ht="30" customHeight="1" x14ac:dyDescent="0.25">
      <c r="A9" s="22" t="s">
        <v>54</v>
      </c>
    </row>
    <row r="10" spans="1:1" ht="15" customHeight="1" x14ac:dyDescent="0.25">
      <c r="A10" s="21"/>
    </row>
    <row r="11" spans="1:1" ht="15" customHeight="1" x14ac:dyDescent="0.25">
      <c r="A11" s="20" t="s">
        <v>55</v>
      </c>
    </row>
    <row r="12" spans="1:1" ht="30" customHeight="1" x14ac:dyDescent="0.25">
      <c r="A12" s="22" t="s">
        <v>56</v>
      </c>
    </row>
    <row r="13" spans="1:1" ht="30" customHeight="1" x14ac:dyDescent="0.25">
      <c r="A13" s="22" t="s">
        <v>57</v>
      </c>
    </row>
    <row r="14" spans="1:1" ht="15" customHeight="1" x14ac:dyDescent="0.25">
      <c r="A14" s="21"/>
    </row>
    <row r="15" spans="1:1" ht="15" customHeight="1" x14ac:dyDescent="0.25">
      <c r="A15" s="20" t="s">
        <v>58</v>
      </c>
    </row>
    <row r="16" spans="1:1" ht="27.95" customHeight="1" x14ac:dyDescent="0.25">
      <c r="A16" s="21" t="s">
        <v>59</v>
      </c>
    </row>
    <row r="17" spans="1:1" ht="15" customHeight="1" x14ac:dyDescent="0.25">
      <c r="A17" s="21" t="s">
        <v>60</v>
      </c>
    </row>
    <row r="18" spans="1:1" ht="15" customHeight="1" x14ac:dyDescent="0.25">
      <c r="A18" s="21" t="s">
        <v>61</v>
      </c>
    </row>
    <row r="19" spans="1:1" ht="15" customHeight="1" x14ac:dyDescent="0.25">
      <c r="A19" s="21" t="s">
        <v>62</v>
      </c>
    </row>
    <row r="20" spans="1:1" ht="15" customHeight="1" x14ac:dyDescent="0.25">
      <c r="A20" s="21" t="s">
        <v>63</v>
      </c>
    </row>
    <row r="21" spans="1:1" ht="15" customHeight="1" x14ac:dyDescent="0.25">
      <c r="A21" s="21"/>
    </row>
    <row r="22" spans="1:1" ht="15" customHeight="1" x14ac:dyDescent="0.25">
      <c r="A22" s="20" t="s">
        <v>64</v>
      </c>
    </row>
    <row r="23" spans="1:1" ht="30" customHeight="1" x14ac:dyDescent="0.25">
      <c r="A23" s="21"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Reload Comparison</vt:lpstr>
      <vt:lpstr>Reload Comparison (2)</vt:lpstr>
      <vt:lpstr>Notes &amp; Data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Raymond Lee</cp:lastModifiedBy>
  <dcterms:created xsi:type="dcterms:W3CDTF">2026-07-28T17:34:35Z</dcterms:created>
  <dcterms:modified xsi:type="dcterms:W3CDTF">2026-07-28T17:53:32Z</dcterms:modified>
</cp:coreProperties>
</file>