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yal\Documents\BF6 Project\"/>
    </mc:Choice>
  </mc:AlternateContent>
  <xr:revisionPtr revIDLastSave="0" documentId="13_ncr:1_{C268BE85-0F98-48A9-8FB5-ABC569314447}" xr6:coauthVersionLast="47" xr6:coauthVersionMax="47" xr10:uidLastSave="{00000000-0000-0000-0000-000000000000}"/>
  <bookViews>
    <workbookView xWindow="48195" yWindow="4665" windowWidth="22890" windowHeight="14475" firstSheet="2" activeTab="3" xr2:uid="{00000000-000D-0000-FFFF-FFFF00000000}"/>
  </bookViews>
  <sheets>
    <sheet name="README" sheetId="1" r:id="rId1"/>
    <sheet name="Muzzle Velocity" sheetId="2" r:id="rId2"/>
    <sheet name="Dmg Output, Recoil Var &amp; SIPS" sheetId="3" r:id="rId3"/>
    <sheet name="Full Auto — Recoil Var &amp; SIPS" sheetId="4" r:id="rId4"/>
    <sheet name="Sheet1" sheetId="6" r:id="rId5"/>
    <sheet name="Recoil S2 vs S3" sheetId="5" r:id="rId6"/>
  </sheets>
  <definedNames>
    <definedName name="_xlnm._FilterDatabase" localSheetId="3" hidden="1">'Full Auto — Recoil Var &amp; SIPS'!$A$4:$Q$42</definedName>
    <definedName name="_xlnm._FilterDatabase" localSheetId="4" hidden="1">Sheet1!$A$4:$C$40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5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C39" i="6"/>
  <c r="C40" i="6"/>
  <c r="C24" i="6"/>
  <c r="C31" i="6"/>
  <c r="C29" i="6"/>
  <c r="C32" i="6"/>
  <c r="C28" i="6"/>
  <c r="C35" i="6"/>
  <c r="C36" i="6"/>
  <c r="C19" i="6"/>
  <c r="C37" i="6"/>
  <c r="C27" i="6"/>
  <c r="C34" i="6"/>
  <c r="C8" i="6"/>
  <c r="C30" i="6"/>
  <c r="C25" i="6"/>
  <c r="C26" i="6"/>
  <c r="C13" i="6"/>
  <c r="C14" i="6"/>
  <c r="C21" i="6"/>
  <c r="C20" i="6"/>
  <c r="C23" i="6"/>
  <c r="C12" i="6"/>
  <c r="C38" i="6"/>
  <c r="C22" i="6"/>
  <c r="C17" i="6"/>
  <c r="C16" i="6"/>
  <c r="C5" i="6"/>
  <c r="C33" i="6"/>
  <c r="C15" i="6"/>
  <c r="C11" i="6"/>
  <c r="C6" i="6"/>
  <c r="C7" i="6"/>
  <c r="C18" i="6"/>
  <c r="C9" i="6"/>
  <c r="C10" i="6"/>
</calcChain>
</file>

<file path=xl/sharedStrings.xml><?xml version="1.0" encoding="utf-8"?>
<sst xmlns="http://schemas.openxmlformats.org/spreadsheetml/2006/main" count="779" uniqueCount="143">
  <si>
    <t>BF6 Update 1.3.3.0 — Weapon Change Analysis</t>
  </si>
  <si>
    <t>Current = Season 3 live data (data/weapons.json). New = Update 1.3.3.0 patch notes.</t>
  </si>
  <si>
    <t>Source</t>
  </si>
  <si>
    <t>EA patch notes 1.3.3.0 (ea.com/.../battlefield-6-game-update-1-3-3-0) + project weapon data, pulled 2026-06-26.</t>
  </si>
  <si>
    <t>Sheet</t>
  </si>
  <si>
    <t>Contents</t>
  </si>
  <si>
    <t>Muzzle Velocity</t>
  </si>
  <si>
    <t>Per-weapon current vs new bulletVel (m/s). Weapons NOT listed in the patch = no change (Current=New).</t>
  </si>
  <si>
    <t>Dmg Output, Recoil Var &amp; SIPS</t>
  </si>
  <si>
    <t>ALL weapons ranked by damage output (DPS) high-&gt;low. Fire Mode column flags full-auto vs others.</t>
  </si>
  <si>
    <t>Includes recoil variation current vs new (1.3.3.0; not listed = no change), current SIPS (Spread</t>
  </si>
  <si>
    <t>Increase Per Shot), and a per-rank dispersion forecast (no per-weapon dispersion numbers were published).</t>
  </si>
  <si>
    <t>Full Auto — Recoil Var &amp; SIPS</t>
  </si>
  <si>
    <t>Same view but AUTOMATIC weapons only (full-auto + M16A4 burst; dispersion changes are believed to</t>
  </si>
  <si>
    <t>target these). Color scales and the dispersion forecast are recomputed over the reduced set.</t>
  </si>
  <si>
    <t>Recoil S2 vs S3</t>
  </si>
  <si>
    <t>Recoil amount + variation: Season 2 archive vs Season 3 live, to see who changed most between seasons.</t>
  </si>
  <si>
    <t>Patch dispersion rule</t>
  </si>
  <si>
    <t>"Spread Increase Per Shot" (SIPS) growth +14% on average; up to +22% on HIGHEST-damage weapons,</t>
  </si>
  <si>
    <t>down to -48% (reduction) on LOWEST-damage weapons. No weapon-level table was published.</t>
  </si>
  <si>
    <t>Hypothesis</t>
  </si>
  <si>
    <t>In 1.3.1.0 recoil VARIATION was raised on high-DPS autos. 1.3.3.0 rolls that back, so those guns are the</t>
  </si>
  <si>
    <t>prime candidates to instead receive the largest SIPS/dispersion INCREASES. See "Recoil S2 vs S3" + ranking.</t>
  </si>
  <si>
    <t>Limb multipliers</t>
  </si>
  <si>
    <t>Not in this workbook (not a numeric per-weapon table). Auto limbs/stomach 1.0-&gt;0.84; DMR -&gt;0.91;</t>
  </si>
  <si>
    <t>Sniper chest-armor 0.8-&gt;0.67, stomach/limbs 0.8-&gt;0.67. Headshot autos 1.34/1.5/1.75 -&gt; 1.4/1.57/1.8.</t>
  </si>
  <si>
    <t>Caveat</t>
  </si>
  <si>
    <t>PP-19 appears in the patch notes but is not in the current weapon dataset (flagged on each sheet).</t>
  </si>
  <si>
    <t>Muzzle Velocity — Update 1.3.3.0</t>
  </si>
  <si>
    <t>Weapons not listed in patch notes are unchanged (New = Current).</t>
  </si>
  <si>
    <t>Weapon</t>
  </si>
  <si>
    <t>Class</t>
  </si>
  <si>
    <t>Current (S3) m/s</t>
  </si>
  <si>
    <t>New 1.3.3.0 m/s</t>
  </si>
  <si>
    <t>Change m/s</t>
  </si>
  <si>
    <t>Change %</t>
  </si>
  <si>
    <t>In patch?</t>
  </si>
  <si>
    <t>AK4D</t>
  </si>
  <si>
    <t>Assault Rifle</t>
  </si>
  <si>
    <t>Yes</t>
  </si>
  <si>
    <t>B36A4</t>
  </si>
  <si>
    <t>KORD 6P67</t>
  </si>
  <si>
    <t>L85A3</t>
  </si>
  <si>
    <t>M16A4</t>
  </si>
  <si>
    <t>M433</t>
  </si>
  <si>
    <t>NVO-228E</t>
  </si>
  <si>
    <t>SOR-556 MK2</t>
  </si>
  <si>
    <t>TR7</t>
  </si>
  <si>
    <t>VCR-2</t>
  </si>
  <si>
    <t>AK-205</t>
  </si>
  <si>
    <t>Carbine</t>
  </si>
  <si>
    <t>GRT-BC</t>
  </si>
  <si>
    <t>M277</t>
  </si>
  <si>
    <t>M417 A2</t>
  </si>
  <si>
    <t>M4A1</t>
  </si>
  <si>
    <t>QBZ-192</t>
  </si>
  <si>
    <t>SG 553R</t>
  </si>
  <si>
    <t>SOR-300SC</t>
  </si>
  <si>
    <t>GRT-CPS</t>
  </si>
  <si>
    <t>DMR</t>
  </si>
  <si>
    <t>LMR27</t>
  </si>
  <si>
    <t>M39 EMR</t>
  </si>
  <si>
    <t>SVDM</t>
  </si>
  <si>
    <t>SVK-8.6</t>
  </si>
  <si>
    <t>DRS-IAR</t>
  </si>
  <si>
    <t>LMG</t>
  </si>
  <si>
    <t>KTS100 MK8</t>
  </si>
  <si>
    <t>L110</t>
  </si>
  <si>
    <t>M/60</t>
  </si>
  <si>
    <t>M121 A2</t>
  </si>
  <si>
    <t>M123K</t>
  </si>
  <si>
    <t>M240L</t>
  </si>
  <si>
    <t>M250</t>
  </si>
  <si>
    <t>RPK-74M</t>
  </si>
  <si>
    <t>RPKM</t>
  </si>
  <si>
    <t>CZ3A1</t>
  </si>
  <si>
    <t>SMG</t>
  </si>
  <si>
    <t>KV9</t>
  </si>
  <si>
    <t>PW5A3</t>
  </si>
  <si>
    <t>PW7A2</t>
  </si>
  <si>
    <t>SCW-10</t>
  </si>
  <si>
    <t>SGX</t>
  </si>
  <si>
    <t>SL9</t>
  </si>
  <si>
    <t>UMG-40</t>
  </si>
  <si>
    <t>USG-90</t>
  </si>
  <si>
    <t>ES 5.7</t>
  </si>
  <si>
    <t>Sidearm</t>
  </si>
  <si>
    <t>GGH-22</t>
  </si>
  <si>
    <t>no change</t>
  </si>
  <si>
    <t>M357 Trait</t>
  </si>
  <si>
    <t>M44</t>
  </si>
  <si>
    <t>M45A1</t>
  </si>
  <si>
    <t>P18</t>
  </si>
  <si>
    <t>VZ. 61</t>
  </si>
  <si>
    <t>L115</t>
  </si>
  <si>
    <t>Sniper Rifle</t>
  </si>
  <si>
    <t>M2010 ESR</t>
  </si>
  <si>
    <t>Mini Scout</t>
  </si>
  <si>
    <t>PSR</t>
  </si>
  <si>
    <t>SV-98</t>
  </si>
  <si>
    <t>PP-19</t>
  </si>
  <si>
    <t>(not in dataset)</t>
  </si>
  <si>
    <t>patch only</t>
  </si>
  <si>
    <t>Damage Output Ranking · Recoil Variation (1.3.3.0) · Dispersion (SIPS) Forecast</t>
  </si>
  <si>
    <t>Ranked by damage output (DPS) high→low. Recoil-var New = 1.3.3.0 patch (else no change). SIPS = current Spread Increase Per Shot. Patch: SIPS +14% avg, up to +22% highest-damage, down to -48% lowest — no per-weapon table published, so forecast is by rank. Fire Mode column flags full-auto vs others.</t>
  </si>
  <si>
    <t>Rank</t>
  </si>
  <si>
    <t>Fire Mode</t>
  </si>
  <si>
    <t>RPM</t>
  </si>
  <si>
    <t>Max Dmg</t>
  </si>
  <si>
    <t>Damage Output (DPS)</t>
  </si>
  <si>
    <t>Recoil Var Cur °</t>
  </si>
  <si>
    <t>Recoil Var New °</t>
  </si>
  <si>
    <t>Var Δ °</t>
  </si>
  <si>
    <t>Var Δ %</t>
  </si>
  <si>
    <t>SIPS ADS (cur)</t>
  </si>
  <si>
    <t>SIPS Hip (cur)</t>
  </si>
  <si>
    <t>Dispersion forecast</t>
  </si>
  <si>
    <t>Full auto</t>
  </si>
  <si>
    <t>Increase (largest, ~+22% end)</t>
  </si>
  <si>
    <t>Burst</t>
  </si>
  <si>
    <t>Increase (~avg +14%)</t>
  </si>
  <si>
    <t>Reduction likely (down to ~-48%)</t>
  </si>
  <si>
    <t>Semi</t>
  </si>
  <si>
    <t>Bolt</t>
  </si>
  <si>
    <t>AUTOMATIC WEAPONS — Damage Output · Recoil Variation (1.3.3.0) · Dispersion (SIPS) Forecast</t>
  </si>
  <si>
    <t>Same as the combined tab but limited to automatic weapons (fireMode=auto, plus M16A4 burst). Color scales and the dispersion forecast are recomputed over this reduced set. Excludes DMRs (semi), snipers (bolt), shotguns, and semi-auto sidearms.</t>
  </si>
  <si>
    <t>Recoil: Season 2 archive vs Season 3 live</t>
  </si>
  <si>
    <t>Largest movers between seasons. Flagged weapons had recoil variation raised for high-DPS autos in Update 1.3.1.0.</t>
  </si>
  <si>
    <t>S2 Amount</t>
  </si>
  <si>
    <t>S3 Amount</t>
  </si>
  <si>
    <t>Δ Amt</t>
  </si>
  <si>
    <t>Δ Amt %</t>
  </si>
  <si>
    <t>S2 Var °</t>
  </si>
  <si>
    <t>S3 Var °</t>
  </si>
  <si>
    <t>Δ Var °</t>
  </si>
  <si>
    <t>Δ Var %</t>
  </si>
  <si>
    <t>High-DPS recoil buff (1.3.1.0)</t>
  </si>
  <si>
    <t>M87A1</t>
  </si>
  <si>
    <t>Shotgun</t>
  </si>
  <si>
    <t>M1014</t>
  </si>
  <si>
    <t>18.5KS-K</t>
  </si>
  <si>
    <t>DB-12</t>
  </si>
  <si>
    <t>S2 vs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</si>
</sst>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9"/>
      <color rgb="FF595959"/>
      <name val="Arial"/>
    </font>
    <font>
      <sz val="10"/>
      <name val="Arial"/>
    </font>
    <font>
      <b/>
      <sz val="10"/>
      <name val="Arial"/>
    </font>
    <font>
      <b/>
      <sz val="14"/>
      <color rgb="FF1F3864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7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0" fillId="0" borderId="0" xfId="0"/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workbookViewId="0"/>
  </sheetViews>
  <sheetFormatPr defaultRowHeight="15" x14ac:dyDescent="0.25"/>
  <cols>
    <col min="1" max="1" width="22" customWidth="1"/>
    <col min="2" max="2" width="115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/>
      <c r="B4" s="3"/>
    </row>
    <row r="5" spans="1:2" x14ac:dyDescent="0.25">
      <c r="A5" s="4" t="s">
        <v>2</v>
      </c>
      <c r="B5" s="3" t="s">
        <v>3</v>
      </c>
    </row>
    <row r="6" spans="1:2" x14ac:dyDescent="0.25">
      <c r="A6" s="3"/>
      <c r="B6" s="3"/>
    </row>
    <row r="7" spans="1:2" x14ac:dyDescent="0.25">
      <c r="A7" s="4" t="s">
        <v>4</v>
      </c>
      <c r="B7" s="3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3" t="s">
        <v>8</v>
      </c>
      <c r="B9" s="3" t="s">
        <v>9</v>
      </c>
    </row>
    <row r="10" spans="1:2" x14ac:dyDescent="0.25">
      <c r="A10" s="3"/>
      <c r="B10" s="3" t="s">
        <v>10</v>
      </c>
    </row>
    <row r="11" spans="1:2" x14ac:dyDescent="0.25">
      <c r="A11" s="3"/>
      <c r="B11" s="3" t="s">
        <v>11</v>
      </c>
    </row>
    <row r="12" spans="1:2" x14ac:dyDescent="0.25">
      <c r="A12" s="3" t="s">
        <v>12</v>
      </c>
      <c r="B12" s="3" t="s">
        <v>13</v>
      </c>
    </row>
    <row r="13" spans="1:2" x14ac:dyDescent="0.25">
      <c r="A13" s="3"/>
      <c r="B13" s="3" t="s">
        <v>14</v>
      </c>
    </row>
    <row r="14" spans="1:2" x14ac:dyDescent="0.25">
      <c r="A14" s="3" t="s">
        <v>15</v>
      </c>
      <c r="B14" s="3" t="s">
        <v>16</v>
      </c>
    </row>
    <row r="15" spans="1:2" x14ac:dyDescent="0.25">
      <c r="A15" s="3"/>
      <c r="B15" s="3"/>
    </row>
    <row r="16" spans="1:2" x14ac:dyDescent="0.25">
      <c r="A16" s="4" t="s">
        <v>17</v>
      </c>
      <c r="B16" s="3" t="s">
        <v>18</v>
      </c>
    </row>
    <row r="17" spans="1:2" x14ac:dyDescent="0.25">
      <c r="A17" s="3"/>
      <c r="B17" s="3" t="s">
        <v>19</v>
      </c>
    </row>
    <row r="18" spans="1:2" x14ac:dyDescent="0.25">
      <c r="A18" s="4" t="s">
        <v>20</v>
      </c>
      <c r="B18" s="3" t="s">
        <v>21</v>
      </c>
    </row>
    <row r="19" spans="1:2" x14ac:dyDescent="0.25">
      <c r="A19" s="3"/>
      <c r="B19" s="3" t="s">
        <v>22</v>
      </c>
    </row>
    <row r="20" spans="1:2" x14ac:dyDescent="0.25">
      <c r="A20" s="3"/>
      <c r="B20" s="3"/>
    </row>
    <row r="21" spans="1:2" x14ac:dyDescent="0.25">
      <c r="A21" s="4" t="s">
        <v>23</v>
      </c>
      <c r="B21" s="3" t="s">
        <v>24</v>
      </c>
    </row>
    <row r="22" spans="1:2" x14ac:dyDescent="0.25">
      <c r="A22" s="3"/>
      <c r="B22" s="3" t="s">
        <v>25</v>
      </c>
    </row>
    <row r="23" spans="1:2" x14ac:dyDescent="0.25">
      <c r="A23" s="4" t="s">
        <v>26</v>
      </c>
      <c r="B23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showGridLines="0" workbookViewId="0">
      <pane ySplit="4" topLeftCell="A26" activePane="bottomLeft" state="frozen"/>
      <selection pane="bottomLeft" activeCell="A41" sqref="A41"/>
    </sheetView>
  </sheetViews>
  <sheetFormatPr defaultRowHeight="15" x14ac:dyDescent="0.25"/>
  <cols>
    <col min="1" max="4" width="16" customWidth="1"/>
    <col min="5" max="5" width="12" customWidth="1"/>
    <col min="6" max="7" width="11" customWidth="1"/>
  </cols>
  <sheetData>
    <row r="1" spans="1:7" ht="18" x14ac:dyDescent="0.25">
      <c r="A1" s="34" t="s">
        <v>28</v>
      </c>
      <c r="B1" s="33"/>
      <c r="C1" s="33"/>
      <c r="D1" s="33"/>
      <c r="E1" s="33"/>
      <c r="F1" s="33"/>
      <c r="G1" s="33"/>
    </row>
    <row r="2" spans="1:7" x14ac:dyDescent="0.25">
      <c r="A2" s="32" t="s">
        <v>29</v>
      </c>
      <c r="B2" s="33"/>
      <c r="C2" s="33"/>
      <c r="D2" s="33"/>
      <c r="E2" s="33"/>
      <c r="F2" s="33"/>
      <c r="G2" s="33"/>
    </row>
    <row r="4" spans="1:7" x14ac:dyDescent="0.25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</row>
    <row r="5" spans="1:7" x14ac:dyDescent="0.25">
      <c r="A5" s="6" t="s">
        <v>37</v>
      </c>
      <c r="B5" s="6" t="s">
        <v>38</v>
      </c>
      <c r="C5" s="7">
        <v>720</v>
      </c>
      <c r="D5" s="7">
        <v>680</v>
      </c>
      <c r="E5" s="7">
        <v>-40</v>
      </c>
      <c r="F5" s="8">
        <v>-5.5555555555555552E-2</v>
      </c>
      <c r="G5" s="9" t="s">
        <v>39</v>
      </c>
    </row>
    <row r="6" spans="1:7" x14ac:dyDescent="0.25">
      <c r="A6" s="6" t="s">
        <v>40</v>
      </c>
      <c r="B6" s="6" t="s">
        <v>38</v>
      </c>
      <c r="C6" s="7">
        <v>780</v>
      </c>
      <c r="D6" s="7">
        <v>740</v>
      </c>
      <c r="E6" s="7">
        <v>-40</v>
      </c>
      <c r="F6" s="8">
        <v>-5.128205128205128E-2</v>
      </c>
      <c r="G6" s="9" t="s">
        <v>39</v>
      </c>
    </row>
    <row r="7" spans="1:7" x14ac:dyDescent="0.25">
      <c r="A7" s="6" t="s">
        <v>41</v>
      </c>
      <c r="B7" s="6" t="s">
        <v>38</v>
      </c>
      <c r="C7" s="7">
        <v>760</v>
      </c>
      <c r="D7" s="7">
        <v>724</v>
      </c>
      <c r="E7" s="7">
        <v>-36</v>
      </c>
      <c r="F7" s="8">
        <v>-4.736842105263158E-2</v>
      </c>
      <c r="G7" s="9" t="s">
        <v>39</v>
      </c>
    </row>
    <row r="8" spans="1:7" x14ac:dyDescent="0.25">
      <c r="A8" s="6" t="s">
        <v>42</v>
      </c>
      <c r="B8" s="6" t="s">
        <v>38</v>
      </c>
      <c r="C8" s="7">
        <v>814</v>
      </c>
      <c r="D8" s="7">
        <v>778</v>
      </c>
      <c r="E8" s="7">
        <v>-36</v>
      </c>
      <c r="F8" s="8">
        <v>-4.4226044226044217E-2</v>
      </c>
      <c r="G8" s="9" t="s">
        <v>39</v>
      </c>
    </row>
    <row r="9" spans="1:7" x14ac:dyDescent="0.25">
      <c r="A9" s="6" t="s">
        <v>43</v>
      </c>
      <c r="B9" s="6" t="s">
        <v>38</v>
      </c>
      <c r="C9" s="7">
        <v>720</v>
      </c>
      <c r="D9" s="7">
        <v>680</v>
      </c>
      <c r="E9" s="7">
        <v>-40</v>
      </c>
      <c r="F9" s="8">
        <v>-5.5555555555555552E-2</v>
      </c>
      <c r="G9" s="9" t="s">
        <v>39</v>
      </c>
    </row>
    <row r="10" spans="1:7" x14ac:dyDescent="0.25">
      <c r="A10" s="6" t="s">
        <v>44</v>
      </c>
      <c r="B10" s="6" t="s">
        <v>38</v>
      </c>
      <c r="C10" s="7">
        <v>670</v>
      </c>
      <c r="D10" s="7">
        <v>630</v>
      </c>
      <c r="E10" s="7">
        <v>-40</v>
      </c>
      <c r="F10" s="8">
        <v>-5.9701492537313432E-2</v>
      </c>
      <c r="G10" s="9" t="s">
        <v>39</v>
      </c>
    </row>
    <row r="11" spans="1:7" x14ac:dyDescent="0.25">
      <c r="A11" s="6" t="s">
        <v>45</v>
      </c>
      <c r="B11" s="6" t="s">
        <v>38</v>
      </c>
      <c r="C11" s="7">
        <v>671</v>
      </c>
      <c r="D11" s="7">
        <v>626</v>
      </c>
      <c r="E11" s="7">
        <v>-45</v>
      </c>
      <c r="F11" s="8">
        <v>-6.7064083457526083E-2</v>
      </c>
      <c r="G11" s="9" t="s">
        <v>39</v>
      </c>
    </row>
    <row r="12" spans="1:7" x14ac:dyDescent="0.25">
      <c r="A12" s="6" t="s">
        <v>46</v>
      </c>
      <c r="B12" s="6" t="s">
        <v>38</v>
      </c>
      <c r="C12" s="7">
        <v>800</v>
      </c>
      <c r="D12" s="7">
        <v>768</v>
      </c>
      <c r="E12" s="7">
        <v>-32</v>
      </c>
      <c r="F12" s="8">
        <v>-0.04</v>
      </c>
      <c r="G12" s="9" t="s">
        <v>39</v>
      </c>
    </row>
    <row r="13" spans="1:7" x14ac:dyDescent="0.25">
      <c r="A13" s="6" t="s">
        <v>47</v>
      </c>
      <c r="B13" s="6" t="s">
        <v>38</v>
      </c>
      <c r="C13" s="7">
        <v>648</v>
      </c>
      <c r="D13" s="7">
        <v>604</v>
      </c>
      <c r="E13" s="7">
        <v>-44</v>
      </c>
      <c r="F13" s="8">
        <v>-6.7901234567901231E-2</v>
      </c>
      <c r="G13" s="9" t="s">
        <v>39</v>
      </c>
    </row>
    <row r="14" spans="1:7" x14ac:dyDescent="0.25">
      <c r="A14" s="6" t="s">
        <v>48</v>
      </c>
      <c r="B14" s="6" t="s">
        <v>38</v>
      </c>
      <c r="C14" s="7">
        <v>704</v>
      </c>
      <c r="D14" s="7">
        <v>660</v>
      </c>
      <c r="E14" s="7">
        <v>-44</v>
      </c>
      <c r="F14" s="8">
        <v>-6.25E-2</v>
      </c>
      <c r="G14" s="9" t="s">
        <v>39</v>
      </c>
    </row>
    <row r="15" spans="1:7" x14ac:dyDescent="0.25">
      <c r="A15" s="6" t="s">
        <v>49</v>
      </c>
      <c r="B15" s="6" t="s">
        <v>50</v>
      </c>
      <c r="C15" s="7">
        <v>737</v>
      </c>
      <c r="D15" s="7">
        <v>708</v>
      </c>
      <c r="E15" s="7">
        <v>-29</v>
      </c>
      <c r="F15" s="8">
        <v>-3.9348710990502037E-2</v>
      </c>
      <c r="G15" s="9" t="s">
        <v>39</v>
      </c>
    </row>
    <row r="16" spans="1:7" x14ac:dyDescent="0.25">
      <c r="A16" s="6" t="s">
        <v>51</v>
      </c>
      <c r="B16" s="6" t="s">
        <v>50</v>
      </c>
      <c r="C16" s="7">
        <v>599</v>
      </c>
      <c r="D16" s="7">
        <v>563</v>
      </c>
      <c r="E16" s="7">
        <v>-36</v>
      </c>
      <c r="F16" s="8">
        <v>-6.0100166944908183E-2</v>
      </c>
      <c r="G16" s="9" t="s">
        <v>39</v>
      </c>
    </row>
    <row r="17" spans="1:7" x14ac:dyDescent="0.25">
      <c r="A17" s="6" t="s">
        <v>52</v>
      </c>
      <c r="B17" s="6" t="s">
        <v>50</v>
      </c>
      <c r="C17" s="7">
        <v>624</v>
      </c>
      <c r="D17" s="7">
        <v>592</v>
      </c>
      <c r="E17" s="7">
        <v>-32</v>
      </c>
      <c r="F17" s="8">
        <v>-5.128205128205128E-2</v>
      </c>
      <c r="G17" s="9" t="s">
        <v>39</v>
      </c>
    </row>
    <row r="18" spans="1:7" x14ac:dyDescent="0.25">
      <c r="A18" s="6" t="s">
        <v>53</v>
      </c>
      <c r="B18" s="6" t="s">
        <v>50</v>
      </c>
      <c r="C18" s="7">
        <v>600</v>
      </c>
      <c r="D18" s="7">
        <v>560</v>
      </c>
      <c r="E18" s="7">
        <v>-40</v>
      </c>
      <c r="F18" s="8">
        <v>-6.6666666666666666E-2</v>
      </c>
      <c r="G18" s="9" t="s">
        <v>39</v>
      </c>
    </row>
    <row r="19" spans="1:7" x14ac:dyDescent="0.25">
      <c r="A19" s="6" t="s">
        <v>54</v>
      </c>
      <c r="B19" s="6" t="s">
        <v>50</v>
      </c>
      <c r="C19" s="7">
        <v>630</v>
      </c>
      <c r="D19" s="7">
        <v>590</v>
      </c>
      <c r="E19" s="7">
        <v>-40</v>
      </c>
      <c r="F19" s="8">
        <v>-6.3492063492063489E-2</v>
      </c>
      <c r="G19" s="9" t="s">
        <v>39</v>
      </c>
    </row>
    <row r="20" spans="1:7" x14ac:dyDescent="0.25">
      <c r="A20" s="6" t="s">
        <v>55</v>
      </c>
      <c r="B20" s="6" t="s">
        <v>50</v>
      </c>
      <c r="C20" s="7">
        <v>644</v>
      </c>
      <c r="D20" s="7">
        <v>608</v>
      </c>
      <c r="E20" s="7">
        <v>-36</v>
      </c>
      <c r="F20" s="8">
        <v>-5.5900621118012417E-2</v>
      </c>
      <c r="G20" s="9" t="s">
        <v>39</v>
      </c>
    </row>
    <row r="21" spans="1:7" x14ac:dyDescent="0.25">
      <c r="A21" s="6" t="s">
        <v>56</v>
      </c>
      <c r="B21" s="6" t="s">
        <v>50</v>
      </c>
      <c r="C21" s="7">
        <v>519</v>
      </c>
      <c r="D21" s="7">
        <v>483</v>
      </c>
      <c r="E21" s="7">
        <v>-36</v>
      </c>
      <c r="F21" s="8">
        <v>-6.9364161849710976E-2</v>
      </c>
      <c r="G21" s="9" t="s">
        <v>39</v>
      </c>
    </row>
    <row r="22" spans="1:7" x14ac:dyDescent="0.25">
      <c r="A22" s="6" t="s">
        <v>57</v>
      </c>
      <c r="B22" s="6" t="s">
        <v>50</v>
      </c>
      <c r="C22" s="7">
        <v>563</v>
      </c>
      <c r="D22" s="7">
        <v>528</v>
      </c>
      <c r="E22" s="7">
        <v>-35</v>
      </c>
      <c r="F22" s="8">
        <v>-6.216696269982238E-2</v>
      </c>
      <c r="G22" s="9" t="s">
        <v>39</v>
      </c>
    </row>
    <row r="23" spans="1:7" x14ac:dyDescent="0.25">
      <c r="A23" s="6" t="s">
        <v>58</v>
      </c>
      <c r="B23" s="6" t="s">
        <v>59</v>
      </c>
      <c r="C23" s="7">
        <v>800</v>
      </c>
      <c r="D23" s="7">
        <v>760</v>
      </c>
      <c r="E23" s="7">
        <v>-40</v>
      </c>
      <c r="F23" s="8">
        <v>-0.05</v>
      </c>
      <c r="G23" s="9" t="s">
        <v>39</v>
      </c>
    </row>
    <row r="24" spans="1:7" x14ac:dyDescent="0.25">
      <c r="A24" s="6" t="s">
        <v>60</v>
      </c>
      <c r="B24" s="6" t="s">
        <v>59</v>
      </c>
      <c r="C24" s="7">
        <v>880</v>
      </c>
      <c r="D24" s="7">
        <v>800</v>
      </c>
      <c r="E24" s="7">
        <v>-80</v>
      </c>
      <c r="F24" s="8">
        <v>-9.0909090909090912E-2</v>
      </c>
      <c r="G24" s="9" t="s">
        <v>39</v>
      </c>
    </row>
    <row r="25" spans="1:7" x14ac:dyDescent="0.25">
      <c r="A25" s="6" t="s">
        <v>61</v>
      </c>
      <c r="B25" s="6" t="s">
        <v>59</v>
      </c>
      <c r="C25" s="7">
        <v>800</v>
      </c>
      <c r="D25" s="7">
        <v>760</v>
      </c>
      <c r="E25" s="7">
        <v>-40</v>
      </c>
      <c r="F25" s="8">
        <v>-0.05</v>
      </c>
      <c r="G25" s="9" t="s">
        <v>39</v>
      </c>
    </row>
    <row r="26" spans="1:7" x14ac:dyDescent="0.25">
      <c r="A26" s="6" t="s">
        <v>62</v>
      </c>
      <c r="B26" s="6" t="s">
        <v>59</v>
      </c>
      <c r="C26" s="7">
        <v>800</v>
      </c>
      <c r="D26" s="7">
        <v>760</v>
      </c>
      <c r="E26" s="7">
        <v>-40</v>
      </c>
      <c r="F26" s="8">
        <v>-0.05</v>
      </c>
      <c r="G26" s="9" t="s">
        <v>39</v>
      </c>
    </row>
    <row r="27" spans="1:7" x14ac:dyDescent="0.25">
      <c r="A27" s="6" t="s">
        <v>63</v>
      </c>
      <c r="B27" s="6" t="s">
        <v>59</v>
      </c>
      <c r="C27" s="7">
        <v>720</v>
      </c>
      <c r="D27" s="7">
        <v>680</v>
      </c>
      <c r="E27" s="7">
        <v>-40</v>
      </c>
      <c r="F27" s="8">
        <v>-5.5555555555555552E-2</v>
      </c>
      <c r="G27" s="9" t="s">
        <v>39</v>
      </c>
    </row>
    <row r="28" spans="1:7" x14ac:dyDescent="0.25">
      <c r="A28" s="6" t="s">
        <v>64</v>
      </c>
      <c r="B28" s="6" t="s">
        <v>65</v>
      </c>
      <c r="C28" s="7">
        <v>720</v>
      </c>
      <c r="D28" s="7">
        <v>680</v>
      </c>
      <c r="E28" s="7">
        <v>-40</v>
      </c>
      <c r="F28" s="8">
        <v>-5.5555555555555552E-2</v>
      </c>
      <c r="G28" s="9" t="s">
        <v>39</v>
      </c>
    </row>
    <row r="29" spans="1:7" x14ac:dyDescent="0.25">
      <c r="A29" s="6" t="s">
        <v>66</v>
      </c>
      <c r="B29" s="6" t="s">
        <v>65</v>
      </c>
      <c r="C29" s="7">
        <v>840</v>
      </c>
      <c r="D29" s="7">
        <v>808</v>
      </c>
      <c r="E29" s="7">
        <v>-32</v>
      </c>
      <c r="F29" s="8">
        <v>-3.8095238095238099E-2</v>
      </c>
      <c r="G29" s="9" t="s">
        <v>39</v>
      </c>
    </row>
    <row r="30" spans="1:7" x14ac:dyDescent="0.25">
      <c r="A30" s="6" t="s">
        <v>67</v>
      </c>
      <c r="B30" s="6" t="s">
        <v>65</v>
      </c>
      <c r="C30" s="7">
        <v>780</v>
      </c>
      <c r="D30" s="7">
        <v>740</v>
      </c>
      <c r="E30" s="7">
        <v>-40</v>
      </c>
      <c r="F30" s="8">
        <v>-5.128205128205128E-2</v>
      </c>
      <c r="G30" s="9" t="s">
        <v>39</v>
      </c>
    </row>
    <row r="31" spans="1:7" x14ac:dyDescent="0.25">
      <c r="A31" s="6" t="s">
        <v>68</v>
      </c>
      <c r="B31" s="6" t="s">
        <v>65</v>
      </c>
      <c r="C31" s="7">
        <v>720</v>
      </c>
      <c r="D31" s="7">
        <v>680</v>
      </c>
      <c r="E31" s="7">
        <v>-40</v>
      </c>
      <c r="F31" s="8">
        <v>-5.5555555555555552E-2</v>
      </c>
      <c r="G31" s="9" t="s">
        <v>39</v>
      </c>
    </row>
    <row r="32" spans="1:7" x14ac:dyDescent="0.25">
      <c r="A32" s="6" t="s">
        <v>69</v>
      </c>
      <c r="B32" s="6" t="s">
        <v>65</v>
      </c>
      <c r="C32" s="7">
        <v>600</v>
      </c>
      <c r="D32" s="7">
        <v>560</v>
      </c>
      <c r="E32" s="7">
        <v>-40</v>
      </c>
      <c r="F32" s="8">
        <v>-6.6666666666666666E-2</v>
      </c>
      <c r="G32" s="9" t="s">
        <v>39</v>
      </c>
    </row>
    <row r="33" spans="1:7" x14ac:dyDescent="0.25">
      <c r="A33" s="6" t="s">
        <v>70</v>
      </c>
      <c r="B33" s="6" t="s">
        <v>65</v>
      </c>
      <c r="C33" s="7">
        <v>670</v>
      </c>
      <c r="D33" s="7">
        <v>630</v>
      </c>
      <c r="E33" s="7">
        <v>-40</v>
      </c>
      <c r="F33" s="8">
        <v>-5.9701492537313432E-2</v>
      </c>
      <c r="G33" s="9" t="s">
        <v>39</v>
      </c>
    </row>
    <row r="34" spans="1:7" x14ac:dyDescent="0.25">
      <c r="A34" s="6" t="s">
        <v>71</v>
      </c>
      <c r="B34" s="6" t="s">
        <v>65</v>
      </c>
      <c r="C34" s="7">
        <v>630</v>
      </c>
      <c r="D34" s="7">
        <v>590</v>
      </c>
      <c r="E34" s="7">
        <v>-40</v>
      </c>
      <c r="F34" s="8">
        <v>-6.3492063492063489E-2</v>
      </c>
      <c r="G34" s="9" t="s">
        <v>39</v>
      </c>
    </row>
    <row r="35" spans="1:7" x14ac:dyDescent="0.25">
      <c r="A35" s="6" t="s">
        <v>72</v>
      </c>
      <c r="B35" s="6" t="s">
        <v>65</v>
      </c>
      <c r="C35" s="7">
        <v>760</v>
      </c>
      <c r="D35" s="7">
        <v>724</v>
      </c>
      <c r="E35" s="7">
        <v>-36</v>
      </c>
      <c r="F35" s="8">
        <v>-4.736842105263158E-2</v>
      </c>
      <c r="G35" s="9" t="s">
        <v>39</v>
      </c>
    </row>
    <row r="36" spans="1:7" x14ac:dyDescent="0.25">
      <c r="A36" s="6" t="s">
        <v>73</v>
      </c>
      <c r="B36" s="6" t="s">
        <v>65</v>
      </c>
      <c r="C36" s="7">
        <v>840</v>
      </c>
      <c r="D36" s="7">
        <v>808</v>
      </c>
      <c r="E36" s="7">
        <v>-32</v>
      </c>
      <c r="F36" s="8">
        <v>-3.8095238095238099E-2</v>
      </c>
      <c r="G36" s="9" t="s">
        <v>39</v>
      </c>
    </row>
    <row r="37" spans="1:7" x14ac:dyDescent="0.25">
      <c r="A37" s="6" t="s">
        <v>74</v>
      </c>
      <c r="B37" s="6" t="s">
        <v>65</v>
      </c>
      <c r="C37" s="7">
        <v>670</v>
      </c>
      <c r="D37" s="7">
        <v>630</v>
      </c>
      <c r="E37" s="7">
        <v>-40</v>
      </c>
      <c r="F37" s="8">
        <v>-5.9701492537313432E-2</v>
      </c>
      <c r="G37" s="9" t="s">
        <v>39</v>
      </c>
    </row>
    <row r="38" spans="1:7" x14ac:dyDescent="0.25">
      <c r="A38" s="6" t="s">
        <v>75</v>
      </c>
      <c r="B38" s="6" t="s">
        <v>76</v>
      </c>
      <c r="C38" s="7">
        <v>360</v>
      </c>
      <c r="D38" s="7">
        <v>336</v>
      </c>
      <c r="E38" s="7">
        <v>-24</v>
      </c>
      <c r="F38" s="8">
        <v>-6.6666666666666666E-2</v>
      </c>
      <c r="G38" s="9" t="s">
        <v>39</v>
      </c>
    </row>
    <row r="39" spans="1:7" x14ac:dyDescent="0.25">
      <c r="A39" s="10" t="s">
        <v>77</v>
      </c>
      <c r="B39" s="10" t="s">
        <v>76</v>
      </c>
      <c r="C39" s="11">
        <v>348</v>
      </c>
      <c r="D39" s="11">
        <v>362</v>
      </c>
      <c r="E39" s="11">
        <v>14</v>
      </c>
      <c r="F39" s="12">
        <v>4.0229885057471257E-2</v>
      </c>
      <c r="G39" s="13" t="s">
        <v>39</v>
      </c>
    </row>
    <row r="40" spans="1:7" x14ac:dyDescent="0.25">
      <c r="A40" s="6" t="s">
        <v>78</v>
      </c>
      <c r="B40" s="6" t="s">
        <v>76</v>
      </c>
      <c r="C40" s="7">
        <v>432</v>
      </c>
      <c r="D40" s="7">
        <v>408</v>
      </c>
      <c r="E40" s="7">
        <v>-24</v>
      </c>
      <c r="F40" s="8">
        <v>-5.5555555555555552E-2</v>
      </c>
      <c r="G40" s="9" t="s">
        <v>39</v>
      </c>
    </row>
    <row r="41" spans="1:7" x14ac:dyDescent="0.25">
      <c r="A41" s="6" t="s">
        <v>79</v>
      </c>
      <c r="B41" s="6" t="s">
        <v>76</v>
      </c>
      <c r="C41" s="7">
        <v>600</v>
      </c>
      <c r="D41" s="7">
        <v>576</v>
      </c>
      <c r="E41" s="7">
        <v>-24</v>
      </c>
      <c r="F41" s="8">
        <v>-0.04</v>
      </c>
      <c r="G41" s="9" t="s">
        <v>39</v>
      </c>
    </row>
    <row r="42" spans="1:7" x14ac:dyDescent="0.25">
      <c r="A42" s="6" t="s">
        <v>80</v>
      </c>
      <c r="B42" s="6" t="s">
        <v>76</v>
      </c>
      <c r="C42" s="7">
        <v>428</v>
      </c>
      <c r="D42" s="7">
        <v>398</v>
      </c>
      <c r="E42" s="7">
        <v>-30</v>
      </c>
      <c r="F42" s="8">
        <v>-7.0093457943925228E-2</v>
      </c>
      <c r="G42" s="9" t="s">
        <v>39</v>
      </c>
    </row>
    <row r="43" spans="1:7" x14ac:dyDescent="0.25">
      <c r="A43" s="6" t="s">
        <v>81</v>
      </c>
      <c r="B43" s="6" t="s">
        <v>76</v>
      </c>
      <c r="C43" s="7">
        <v>402</v>
      </c>
      <c r="D43" s="7">
        <v>378</v>
      </c>
      <c r="E43" s="7">
        <v>-24</v>
      </c>
      <c r="F43" s="8">
        <v>-5.9701492537313432E-2</v>
      </c>
      <c r="G43" s="9" t="s">
        <v>39</v>
      </c>
    </row>
    <row r="44" spans="1:7" x14ac:dyDescent="0.25">
      <c r="A44" s="6" t="s">
        <v>82</v>
      </c>
      <c r="B44" s="6" t="s">
        <v>76</v>
      </c>
      <c r="C44" s="7">
        <v>510</v>
      </c>
      <c r="D44" s="7">
        <v>486</v>
      </c>
      <c r="E44" s="7">
        <v>-24</v>
      </c>
      <c r="F44" s="8">
        <v>-4.7058823529411757E-2</v>
      </c>
      <c r="G44" s="9" t="s">
        <v>39</v>
      </c>
    </row>
    <row r="45" spans="1:7" x14ac:dyDescent="0.25">
      <c r="A45" s="6" t="s">
        <v>83</v>
      </c>
      <c r="B45" s="6" t="s">
        <v>76</v>
      </c>
      <c r="C45" s="7">
        <v>488</v>
      </c>
      <c r="D45" s="7">
        <v>467</v>
      </c>
      <c r="E45" s="7">
        <v>-21</v>
      </c>
      <c r="F45" s="8">
        <v>-4.3032786885245901E-2</v>
      </c>
      <c r="G45" s="9" t="s">
        <v>39</v>
      </c>
    </row>
    <row r="46" spans="1:7" x14ac:dyDescent="0.25">
      <c r="A46" s="6" t="s">
        <v>84</v>
      </c>
      <c r="B46" s="6" t="s">
        <v>76</v>
      </c>
      <c r="C46" s="7">
        <v>570</v>
      </c>
      <c r="D46" s="7">
        <v>543</v>
      </c>
      <c r="E46" s="7">
        <v>-27</v>
      </c>
      <c r="F46" s="8">
        <v>-4.736842105263158E-2</v>
      </c>
      <c r="G46" s="9" t="s">
        <v>39</v>
      </c>
    </row>
    <row r="47" spans="1:7" x14ac:dyDescent="0.25">
      <c r="A47" s="6" t="s">
        <v>85</v>
      </c>
      <c r="B47" s="6" t="s">
        <v>86</v>
      </c>
      <c r="C47" s="7">
        <v>650</v>
      </c>
      <c r="D47" s="7">
        <v>510</v>
      </c>
      <c r="E47" s="7">
        <v>-140</v>
      </c>
      <c r="F47" s="8">
        <v>-0.2153846153846154</v>
      </c>
      <c r="G47" s="9" t="s">
        <v>39</v>
      </c>
    </row>
    <row r="48" spans="1:7" x14ac:dyDescent="0.25">
      <c r="A48" s="14" t="s">
        <v>87</v>
      </c>
      <c r="B48" s="14" t="s">
        <v>86</v>
      </c>
      <c r="C48" s="15">
        <v>400</v>
      </c>
      <c r="D48" s="15">
        <v>400</v>
      </c>
      <c r="E48" s="15">
        <v>0</v>
      </c>
      <c r="F48" s="16">
        <v>0</v>
      </c>
      <c r="G48" s="17" t="s">
        <v>88</v>
      </c>
    </row>
    <row r="49" spans="1:7" x14ac:dyDescent="0.25">
      <c r="A49" s="14" t="s">
        <v>89</v>
      </c>
      <c r="B49" s="14" t="s">
        <v>86</v>
      </c>
      <c r="C49" s="15">
        <v>410</v>
      </c>
      <c r="D49" s="15">
        <v>410</v>
      </c>
      <c r="E49" s="15">
        <v>0</v>
      </c>
      <c r="F49" s="16">
        <v>0</v>
      </c>
      <c r="G49" s="17" t="s">
        <v>88</v>
      </c>
    </row>
    <row r="50" spans="1:7" x14ac:dyDescent="0.25">
      <c r="A50" s="14" t="s">
        <v>90</v>
      </c>
      <c r="B50" s="14" t="s">
        <v>86</v>
      </c>
      <c r="C50" s="15">
        <v>440</v>
      </c>
      <c r="D50" s="15">
        <v>440</v>
      </c>
      <c r="E50" s="15">
        <v>0</v>
      </c>
      <c r="F50" s="16">
        <v>0</v>
      </c>
      <c r="G50" s="17" t="s">
        <v>88</v>
      </c>
    </row>
    <row r="51" spans="1:7" x14ac:dyDescent="0.25">
      <c r="A51" s="14" t="s">
        <v>91</v>
      </c>
      <c r="B51" s="14" t="s">
        <v>86</v>
      </c>
      <c r="C51" s="15">
        <v>336</v>
      </c>
      <c r="D51" s="15">
        <v>336</v>
      </c>
      <c r="E51" s="15">
        <v>0</v>
      </c>
      <c r="F51" s="16">
        <v>0</v>
      </c>
      <c r="G51" s="17" t="s">
        <v>88</v>
      </c>
    </row>
    <row r="52" spans="1:7" x14ac:dyDescent="0.25">
      <c r="A52" s="14" t="s">
        <v>92</v>
      </c>
      <c r="B52" s="14" t="s">
        <v>86</v>
      </c>
      <c r="C52" s="15">
        <v>350</v>
      </c>
      <c r="D52" s="15">
        <v>350</v>
      </c>
      <c r="E52" s="15">
        <v>0</v>
      </c>
      <c r="F52" s="16">
        <v>0</v>
      </c>
      <c r="G52" s="17" t="s">
        <v>88</v>
      </c>
    </row>
    <row r="53" spans="1:7" x14ac:dyDescent="0.25">
      <c r="A53" s="6" t="s">
        <v>93</v>
      </c>
      <c r="B53" s="6" t="s">
        <v>86</v>
      </c>
      <c r="C53" s="7">
        <v>326</v>
      </c>
      <c r="D53" s="7">
        <v>313</v>
      </c>
      <c r="E53" s="7">
        <v>-13</v>
      </c>
      <c r="F53" s="8">
        <v>-3.9877300613496931E-2</v>
      </c>
      <c r="G53" s="9" t="s">
        <v>39</v>
      </c>
    </row>
    <row r="54" spans="1:7" x14ac:dyDescent="0.25">
      <c r="A54" s="6" t="s">
        <v>94</v>
      </c>
      <c r="B54" s="6" t="s">
        <v>95</v>
      </c>
      <c r="C54" s="7">
        <v>703</v>
      </c>
      <c r="D54" s="7">
        <v>664</v>
      </c>
      <c r="E54" s="7">
        <v>-39</v>
      </c>
      <c r="F54" s="8">
        <v>-5.5476529160739689E-2</v>
      </c>
      <c r="G54" s="9" t="s">
        <v>39</v>
      </c>
    </row>
    <row r="55" spans="1:7" x14ac:dyDescent="0.25">
      <c r="A55" s="6" t="s">
        <v>96</v>
      </c>
      <c r="B55" s="6" t="s">
        <v>95</v>
      </c>
      <c r="C55" s="7">
        <v>800</v>
      </c>
      <c r="D55" s="7">
        <v>760</v>
      </c>
      <c r="E55" s="7">
        <v>-40</v>
      </c>
      <c r="F55" s="8">
        <v>-0.05</v>
      </c>
      <c r="G55" s="9" t="s">
        <v>39</v>
      </c>
    </row>
    <row r="56" spans="1:7" x14ac:dyDescent="0.25">
      <c r="A56" s="6" t="s">
        <v>97</v>
      </c>
      <c r="B56" s="6" t="s">
        <v>95</v>
      </c>
      <c r="C56" s="7">
        <v>800</v>
      </c>
      <c r="D56" s="7">
        <v>760</v>
      </c>
      <c r="E56" s="7">
        <v>-40</v>
      </c>
      <c r="F56" s="8">
        <v>-0.05</v>
      </c>
      <c r="G56" s="9" t="s">
        <v>39</v>
      </c>
    </row>
    <row r="57" spans="1:7" x14ac:dyDescent="0.25">
      <c r="A57" s="6" t="s">
        <v>98</v>
      </c>
      <c r="B57" s="6" t="s">
        <v>95</v>
      </c>
      <c r="C57" s="7">
        <v>720</v>
      </c>
      <c r="D57" s="7">
        <v>680</v>
      </c>
      <c r="E57" s="7">
        <v>-40</v>
      </c>
      <c r="F57" s="8">
        <v>-5.5555555555555552E-2</v>
      </c>
      <c r="G57" s="9" t="s">
        <v>39</v>
      </c>
    </row>
    <row r="58" spans="1:7" x14ac:dyDescent="0.25">
      <c r="A58" s="6" t="s">
        <v>99</v>
      </c>
      <c r="B58" s="6" t="s">
        <v>95</v>
      </c>
      <c r="C58" s="7">
        <v>720</v>
      </c>
      <c r="D58" s="7">
        <v>680</v>
      </c>
      <c r="E58" s="7">
        <v>-40</v>
      </c>
      <c r="F58" s="8">
        <v>-5.5555555555555552E-2</v>
      </c>
      <c r="G58" s="9" t="s">
        <v>39</v>
      </c>
    </row>
    <row r="59" spans="1:7" x14ac:dyDescent="0.25">
      <c r="A59" s="6" t="s">
        <v>100</v>
      </c>
      <c r="B59" s="6" t="s">
        <v>101</v>
      </c>
      <c r="C59" s="7">
        <v>468</v>
      </c>
      <c r="D59" s="7">
        <v>444</v>
      </c>
      <c r="E59" s="7">
        <v>-24</v>
      </c>
      <c r="F59" s="8">
        <v>-5.128205128205128E-2</v>
      </c>
      <c r="G59" s="9" t="s">
        <v>102</v>
      </c>
    </row>
  </sheetData>
  <mergeCells count="2">
    <mergeCell ref="A2:G2"/>
    <mergeCell ref="A1:G1"/>
  </mergeCells>
  <conditionalFormatting sqref="C5:C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59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5:F59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"/>
  <sheetViews>
    <sheetView showGridLines="0" workbookViewId="0">
      <pane ySplit="4" topLeftCell="A5" activePane="bottomLeft" state="frozen"/>
      <selection pane="bottomLeft" activeCell="L3" sqref="L1:L1048576"/>
    </sheetView>
  </sheetViews>
  <sheetFormatPr defaultRowHeight="15" x14ac:dyDescent="0.25"/>
  <cols>
    <col min="1" max="1" width="6" customWidth="1"/>
    <col min="2" max="2" width="16" customWidth="1"/>
    <col min="3" max="3" width="15" customWidth="1"/>
    <col min="4" max="4" width="10" customWidth="1"/>
    <col min="5" max="5" width="8" customWidth="1"/>
    <col min="6" max="6" width="10" customWidth="1"/>
    <col min="7" max="7" width="18" customWidth="1"/>
    <col min="8" max="9" width="13" customWidth="1"/>
    <col min="10" max="11" width="9" customWidth="1"/>
    <col min="12" max="13" width="14" customWidth="1"/>
    <col min="14" max="14" width="30" customWidth="1"/>
  </cols>
  <sheetData>
    <row r="1" spans="1:14" ht="18" x14ac:dyDescent="0.25">
      <c r="A1" s="34" t="s">
        <v>103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32" t="s">
        <v>104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x14ac:dyDescent="0.25">
      <c r="A4" s="5" t="s">
        <v>105</v>
      </c>
      <c r="B4" s="5" t="s">
        <v>30</v>
      </c>
      <c r="C4" s="5" t="s">
        <v>31</v>
      </c>
      <c r="D4" s="5" t="s">
        <v>106</v>
      </c>
      <c r="E4" s="5" t="s">
        <v>107</v>
      </c>
      <c r="F4" s="5" t="s">
        <v>108</v>
      </c>
      <c r="G4" s="5" t="s">
        <v>109</v>
      </c>
      <c r="H4" s="5" t="s">
        <v>110</v>
      </c>
      <c r="I4" s="5" t="s">
        <v>111</v>
      </c>
      <c r="J4" s="5" t="s">
        <v>112</v>
      </c>
      <c r="K4" s="5" t="s">
        <v>113</v>
      </c>
      <c r="L4" s="5" t="s">
        <v>114</v>
      </c>
      <c r="M4" s="5" t="s">
        <v>115</v>
      </c>
      <c r="N4" s="5" t="s">
        <v>116</v>
      </c>
    </row>
    <row r="5" spans="1:14" x14ac:dyDescent="0.25">
      <c r="A5" s="18">
        <v>1</v>
      </c>
      <c r="B5" s="19" t="s">
        <v>77</v>
      </c>
      <c r="C5" s="20" t="s">
        <v>76</v>
      </c>
      <c r="D5" s="20" t="s">
        <v>117</v>
      </c>
      <c r="E5" s="21">
        <v>1080</v>
      </c>
      <c r="F5" s="21">
        <v>25</v>
      </c>
      <c r="G5" s="22">
        <v>450</v>
      </c>
      <c r="H5" s="22">
        <v>57.6</v>
      </c>
      <c r="I5" s="22">
        <v>50</v>
      </c>
      <c r="J5" s="22">
        <v>-7.6</v>
      </c>
      <c r="K5" s="23">
        <v>-0.1319444444444445</v>
      </c>
      <c r="L5" s="24">
        <v>0.21</v>
      </c>
      <c r="M5" s="24">
        <v>0.41</v>
      </c>
      <c r="N5" s="13" t="s">
        <v>118</v>
      </c>
    </row>
    <row r="6" spans="1:14" x14ac:dyDescent="0.25">
      <c r="A6" s="18">
        <v>2</v>
      </c>
      <c r="B6" s="19" t="s">
        <v>80</v>
      </c>
      <c r="C6" s="20" t="s">
        <v>76</v>
      </c>
      <c r="D6" s="20" t="s">
        <v>117</v>
      </c>
      <c r="E6" s="21">
        <v>800</v>
      </c>
      <c r="F6" s="21">
        <v>33.340000000000003</v>
      </c>
      <c r="G6" s="22">
        <v>444.5</v>
      </c>
      <c r="H6" s="22">
        <v>35</v>
      </c>
      <c r="I6" s="22">
        <v>33.5</v>
      </c>
      <c r="J6" s="22">
        <v>-1.5</v>
      </c>
      <c r="K6" s="23">
        <v>-4.2857142857142858E-2</v>
      </c>
      <c r="L6" s="24">
        <v>0.27</v>
      </c>
      <c r="M6" s="24">
        <v>0.55200000000000005</v>
      </c>
      <c r="N6" s="13" t="s">
        <v>118</v>
      </c>
    </row>
    <row r="7" spans="1:14" x14ac:dyDescent="0.25">
      <c r="A7" s="18">
        <v>3</v>
      </c>
      <c r="B7" s="19" t="s">
        <v>75</v>
      </c>
      <c r="C7" s="20" t="s">
        <v>76</v>
      </c>
      <c r="D7" s="20" t="s">
        <v>117</v>
      </c>
      <c r="E7" s="21">
        <v>981</v>
      </c>
      <c r="F7" s="21">
        <v>25</v>
      </c>
      <c r="G7" s="22">
        <v>408.8</v>
      </c>
      <c r="H7" s="22">
        <v>59.1</v>
      </c>
      <c r="I7" s="22">
        <v>50.8</v>
      </c>
      <c r="J7" s="22">
        <v>-8.3000000000000007</v>
      </c>
      <c r="K7" s="23">
        <v>-0.140439932318105</v>
      </c>
      <c r="L7" s="24">
        <v>0.21</v>
      </c>
      <c r="M7" s="24">
        <v>0.41</v>
      </c>
      <c r="N7" s="13" t="s">
        <v>118</v>
      </c>
    </row>
    <row r="8" spans="1:14" x14ac:dyDescent="0.25">
      <c r="A8" s="18">
        <v>4</v>
      </c>
      <c r="B8" s="19" t="s">
        <v>47</v>
      </c>
      <c r="C8" s="20" t="s">
        <v>38</v>
      </c>
      <c r="D8" s="20" t="s">
        <v>117</v>
      </c>
      <c r="E8" s="21">
        <v>720</v>
      </c>
      <c r="F8" s="21">
        <v>33.340000000000003</v>
      </c>
      <c r="G8" s="22">
        <v>400.1</v>
      </c>
      <c r="H8" s="22">
        <v>47.1</v>
      </c>
      <c r="I8" s="22">
        <v>40.799999999999997</v>
      </c>
      <c r="J8" s="22">
        <v>-6.3</v>
      </c>
      <c r="K8" s="23">
        <v>-0.1337579617834396</v>
      </c>
      <c r="L8" s="24">
        <v>0.39200000000000002</v>
      </c>
      <c r="M8" s="24">
        <v>0.70599999999999996</v>
      </c>
      <c r="N8" s="13" t="s">
        <v>118</v>
      </c>
    </row>
    <row r="9" spans="1:14" x14ac:dyDescent="0.25">
      <c r="A9" s="18">
        <v>5</v>
      </c>
      <c r="B9" s="19" t="s">
        <v>56</v>
      </c>
      <c r="C9" s="20" t="s">
        <v>50</v>
      </c>
      <c r="D9" s="20" t="s">
        <v>117</v>
      </c>
      <c r="E9" s="21">
        <v>720</v>
      </c>
      <c r="F9" s="21">
        <v>33.340000000000003</v>
      </c>
      <c r="G9" s="22">
        <v>400.1</v>
      </c>
      <c r="H9" s="22">
        <v>43.3</v>
      </c>
      <c r="I9" s="22">
        <v>35.799999999999997</v>
      </c>
      <c r="J9" s="22">
        <v>-7.5</v>
      </c>
      <c r="K9" s="23">
        <v>-0.17321016166281761</v>
      </c>
      <c r="L9" s="24">
        <v>0.27</v>
      </c>
      <c r="M9" s="24">
        <v>0.55200000000000005</v>
      </c>
      <c r="N9" s="13" t="s">
        <v>118</v>
      </c>
    </row>
    <row r="10" spans="1:14" x14ac:dyDescent="0.25">
      <c r="A10" s="18">
        <v>6</v>
      </c>
      <c r="B10" s="19" t="s">
        <v>48</v>
      </c>
      <c r="C10" s="20" t="s">
        <v>38</v>
      </c>
      <c r="D10" s="20" t="s">
        <v>117</v>
      </c>
      <c r="E10" s="21">
        <v>900</v>
      </c>
      <c r="F10" s="21">
        <v>25</v>
      </c>
      <c r="G10" s="22">
        <v>375</v>
      </c>
      <c r="H10" s="22">
        <v>64.900000000000006</v>
      </c>
      <c r="I10" s="22">
        <v>50.3</v>
      </c>
      <c r="J10" s="22">
        <v>-14.6</v>
      </c>
      <c r="K10" s="23">
        <v>-0.22496147919876741</v>
      </c>
      <c r="L10" s="24">
        <v>0.27</v>
      </c>
      <c r="M10" s="24">
        <v>0.48599999999999999</v>
      </c>
      <c r="N10" s="13" t="s">
        <v>118</v>
      </c>
    </row>
    <row r="11" spans="1:14" x14ac:dyDescent="0.25">
      <c r="A11" s="18">
        <v>7</v>
      </c>
      <c r="B11" s="19" t="s">
        <v>54</v>
      </c>
      <c r="C11" s="20" t="s">
        <v>50</v>
      </c>
      <c r="D11" s="20" t="s">
        <v>117</v>
      </c>
      <c r="E11" s="21">
        <v>900</v>
      </c>
      <c r="F11" s="21">
        <v>25</v>
      </c>
      <c r="G11" s="22">
        <v>375</v>
      </c>
      <c r="H11" s="22">
        <v>37.9</v>
      </c>
      <c r="I11" s="22">
        <v>30.7</v>
      </c>
      <c r="J11" s="22">
        <v>-7.2</v>
      </c>
      <c r="K11" s="23">
        <v>-0.18997361477572561</v>
      </c>
      <c r="L11" s="24">
        <v>0.22800000000000001</v>
      </c>
      <c r="M11" s="24">
        <v>0.41</v>
      </c>
      <c r="N11" s="13" t="s">
        <v>118</v>
      </c>
    </row>
    <row r="12" spans="1:14" x14ac:dyDescent="0.25">
      <c r="A12" s="18">
        <v>8</v>
      </c>
      <c r="B12" s="19" t="s">
        <v>45</v>
      </c>
      <c r="C12" s="20" t="s">
        <v>38</v>
      </c>
      <c r="D12" s="20" t="s">
        <v>117</v>
      </c>
      <c r="E12" s="21">
        <v>654</v>
      </c>
      <c r="F12" s="21">
        <v>33.340000000000003</v>
      </c>
      <c r="G12" s="22">
        <v>363.4</v>
      </c>
      <c r="H12" s="22">
        <v>36.799999999999997</v>
      </c>
      <c r="I12" s="22">
        <v>28.9</v>
      </c>
      <c r="J12" s="22">
        <v>-7.9</v>
      </c>
      <c r="K12" s="23">
        <v>-0.21467391304347819</v>
      </c>
      <c r="L12" s="24">
        <v>0.307</v>
      </c>
      <c r="M12" s="24">
        <v>0.55200000000000005</v>
      </c>
      <c r="N12" s="13" t="s">
        <v>118</v>
      </c>
    </row>
    <row r="13" spans="1:14" x14ac:dyDescent="0.25">
      <c r="A13" s="18">
        <v>9</v>
      </c>
      <c r="B13" s="19" t="s">
        <v>53</v>
      </c>
      <c r="C13" s="20" t="s">
        <v>50</v>
      </c>
      <c r="D13" s="20" t="s">
        <v>117</v>
      </c>
      <c r="E13" s="21">
        <v>654</v>
      </c>
      <c r="F13" s="21">
        <v>33.340000000000003</v>
      </c>
      <c r="G13" s="22">
        <v>363.4</v>
      </c>
      <c r="H13" s="22">
        <v>19.8</v>
      </c>
      <c r="I13" s="22">
        <v>15.4</v>
      </c>
      <c r="J13" s="22">
        <v>-4.4000000000000004</v>
      </c>
      <c r="K13" s="23">
        <v>-0.22222222222222221</v>
      </c>
      <c r="L13" s="24">
        <v>0.307</v>
      </c>
      <c r="M13" s="24">
        <v>0.55200000000000005</v>
      </c>
      <c r="N13" s="13" t="s">
        <v>118</v>
      </c>
    </row>
    <row r="14" spans="1:14" x14ac:dyDescent="0.25">
      <c r="A14" s="18">
        <v>10</v>
      </c>
      <c r="B14" s="19" t="s">
        <v>69</v>
      </c>
      <c r="C14" s="20" t="s">
        <v>65</v>
      </c>
      <c r="D14" s="20" t="s">
        <v>117</v>
      </c>
      <c r="E14" s="21">
        <v>654</v>
      </c>
      <c r="F14" s="21">
        <v>33.340000000000003</v>
      </c>
      <c r="G14" s="22">
        <v>363.4</v>
      </c>
      <c r="H14" s="22">
        <v>39.5</v>
      </c>
      <c r="I14" s="22">
        <v>31.8</v>
      </c>
      <c r="J14" s="22">
        <v>-7.7</v>
      </c>
      <c r="K14" s="23">
        <v>-0.19493670886075951</v>
      </c>
      <c r="L14" s="24">
        <v>0.39200000000000002</v>
      </c>
      <c r="M14" s="24">
        <v>0.70599999999999996</v>
      </c>
      <c r="N14" s="13" t="s">
        <v>118</v>
      </c>
    </row>
    <row r="15" spans="1:14" x14ac:dyDescent="0.25">
      <c r="A15" s="18">
        <v>11</v>
      </c>
      <c r="B15" s="19" t="s">
        <v>44</v>
      </c>
      <c r="C15" s="20" t="s">
        <v>38</v>
      </c>
      <c r="D15" s="20" t="s">
        <v>117</v>
      </c>
      <c r="E15" s="21">
        <v>830</v>
      </c>
      <c r="F15" s="21">
        <v>25</v>
      </c>
      <c r="G15" s="22">
        <v>345.8</v>
      </c>
      <c r="H15" s="22">
        <v>50.9</v>
      </c>
      <c r="I15" s="22">
        <v>41.4</v>
      </c>
      <c r="J15" s="22">
        <v>-9.5</v>
      </c>
      <c r="K15" s="23">
        <v>-0.18664047151277011</v>
      </c>
      <c r="L15" s="24">
        <v>0.27</v>
      </c>
      <c r="M15" s="24">
        <v>0.48599999999999999</v>
      </c>
      <c r="N15" s="13" t="s">
        <v>118</v>
      </c>
    </row>
    <row r="16" spans="1:14" x14ac:dyDescent="0.25">
      <c r="A16" s="18">
        <v>12</v>
      </c>
      <c r="B16" s="19" t="s">
        <v>51</v>
      </c>
      <c r="C16" s="20" t="s">
        <v>50</v>
      </c>
      <c r="D16" s="20" t="s">
        <v>117</v>
      </c>
      <c r="E16" s="21">
        <v>830</v>
      </c>
      <c r="F16" s="21">
        <v>25</v>
      </c>
      <c r="G16" s="22">
        <v>345.8</v>
      </c>
      <c r="H16" s="22">
        <v>31.2</v>
      </c>
      <c r="I16" s="22">
        <v>26.1</v>
      </c>
      <c r="J16" s="22">
        <v>-5.0999999999999996</v>
      </c>
      <c r="K16" s="23">
        <v>-0.16346153846153841</v>
      </c>
      <c r="L16" s="24">
        <v>0.22800000000000001</v>
      </c>
      <c r="M16" s="24">
        <v>0.41</v>
      </c>
      <c r="N16" s="13" t="s">
        <v>118</v>
      </c>
    </row>
    <row r="17" spans="1:14" x14ac:dyDescent="0.25">
      <c r="A17" s="18">
        <v>13</v>
      </c>
      <c r="B17" s="19" t="s">
        <v>81</v>
      </c>
      <c r="C17" s="20" t="s">
        <v>76</v>
      </c>
      <c r="D17" s="20" t="s">
        <v>117</v>
      </c>
      <c r="E17" s="21">
        <v>830</v>
      </c>
      <c r="F17" s="21">
        <v>25</v>
      </c>
      <c r="G17" s="22">
        <v>345.8</v>
      </c>
      <c r="H17" s="22">
        <v>39.799999999999997</v>
      </c>
      <c r="I17" s="22">
        <v>31.7</v>
      </c>
      <c r="J17" s="22">
        <v>-8.1</v>
      </c>
      <c r="K17" s="23">
        <v>-0.20351758793969851</v>
      </c>
      <c r="L17" s="24">
        <v>0.21</v>
      </c>
      <c r="M17" s="24">
        <v>0.41</v>
      </c>
      <c r="N17" s="13" t="s">
        <v>118</v>
      </c>
    </row>
    <row r="18" spans="1:14" x14ac:dyDescent="0.25">
      <c r="A18" s="18">
        <v>14</v>
      </c>
      <c r="B18" s="19" t="s">
        <v>70</v>
      </c>
      <c r="C18" s="20" t="s">
        <v>65</v>
      </c>
      <c r="D18" s="20" t="s">
        <v>117</v>
      </c>
      <c r="E18" s="21">
        <v>830</v>
      </c>
      <c r="F18" s="21">
        <v>25</v>
      </c>
      <c r="G18" s="22">
        <v>345.8</v>
      </c>
      <c r="H18" s="22">
        <v>55.9</v>
      </c>
      <c r="I18" s="22">
        <v>47.7</v>
      </c>
      <c r="J18" s="22">
        <v>-8.1999999999999993</v>
      </c>
      <c r="K18" s="23">
        <v>-0.146690518783542</v>
      </c>
      <c r="L18" s="24">
        <v>0.27</v>
      </c>
      <c r="M18" s="24">
        <v>0.48599999999999999</v>
      </c>
      <c r="N18" s="13" t="s">
        <v>118</v>
      </c>
    </row>
    <row r="19" spans="1:14" x14ac:dyDescent="0.25">
      <c r="A19" s="18">
        <v>15</v>
      </c>
      <c r="B19" s="19" t="s">
        <v>57</v>
      </c>
      <c r="C19" s="20" t="s">
        <v>50</v>
      </c>
      <c r="D19" s="20" t="s">
        <v>117</v>
      </c>
      <c r="E19" s="21">
        <v>600</v>
      </c>
      <c r="F19" s="21">
        <v>33.340000000000003</v>
      </c>
      <c r="G19" s="22">
        <v>333.4</v>
      </c>
      <c r="H19" s="22">
        <v>19.2</v>
      </c>
      <c r="I19" s="22">
        <v>15.8</v>
      </c>
      <c r="J19" s="22">
        <v>-3.4</v>
      </c>
      <c r="K19" s="23">
        <v>-0.17708333333333329</v>
      </c>
      <c r="L19" s="24">
        <v>0.27</v>
      </c>
      <c r="M19" s="24">
        <v>0.55200000000000005</v>
      </c>
      <c r="N19" s="13" t="s">
        <v>118</v>
      </c>
    </row>
    <row r="20" spans="1:14" x14ac:dyDescent="0.25">
      <c r="A20" s="18">
        <v>16</v>
      </c>
      <c r="B20" s="19" t="s">
        <v>71</v>
      </c>
      <c r="C20" s="20" t="s">
        <v>65</v>
      </c>
      <c r="D20" s="20" t="s">
        <v>117</v>
      </c>
      <c r="E20" s="21">
        <v>600</v>
      </c>
      <c r="F20" s="21">
        <v>33.340000000000003</v>
      </c>
      <c r="G20" s="22">
        <v>333.4</v>
      </c>
      <c r="H20" s="22">
        <v>41.8</v>
      </c>
      <c r="I20" s="22">
        <v>34.5</v>
      </c>
      <c r="J20" s="22">
        <v>-7.3</v>
      </c>
      <c r="K20" s="23">
        <v>-0.17464114832535879</v>
      </c>
      <c r="L20" s="24">
        <v>0.39200000000000002</v>
      </c>
      <c r="M20" s="24">
        <v>0.70599999999999996</v>
      </c>
      <c r="N20" s="13" t="s">
        <v>118</v>
      </c>
    </row>
    <row r="21" spans="1:14" x14ac:dyDescent="0.25">
      <c r="A21" s="18">
        <v>17</v>
      </c>
      <c r="B21" s="19" t="s">
        <v>43</v>
      </c>
      <c r="C21" s="20" t="s">
        <v>38</v>
      </c>
      <c r="D21" s="20" t="s">
        <v>119</v>
      </c>
      <c r="E21" s="21">
        <v>771</v>
      </c>
      <c r="F21" s="21">
        <v>25</v>
      </c>
      <c r="G21" s="22">
        <v>321.2</v>
      </c>
      <c r="H21" s="22">
        <v>46.4</v>
      </c>
      <c r="I21" s="22">
        <v>37.5</v>
      </c>
      <c r="J21" s="22">
        <v>-8.9</v>
      </c>
      <c r="K21" s="23">
        <v>-0.19181034482758619</v>
      </c>
      <c r="L21" s="24">
        <v>0.27</v>
      </c>
      <c r="M21" s="24">
        <v>0.48599999999999999</v>
      </c>
      <c r="N21" s="13" t="s">
        <v>118</v>
      </c>
    </row>
    <row r="22" spans="1:14" x14ac:dyDescent="0.25">
      <c r="A22" s="18">
        <v>18</v>
      </c>
      <c r="B22" s="19" t="s">
        <v>55</v>
      </c>
      <c r="C22" s="20" t="s">
        <v>50</v>
      </c>
      <c r="D22" s="20" t="s">
        <v>117</v>
      </c>
      <c r="E22" s="21">
        <v>771</v>
      </c>
      <c r="F22" s="21">
        <v>25</v>
      </c>
      <c r="G22" s="22">
        <v>321.2</v>
      </c>
      <c r="H22" s="22">
        <v>23.5</v>
      </c>
      <c r="I22" s="22">
        <v>19.899999999999999</v>
      </c>
      <c r="J22" s="22">
        <v>-3.6</v>
      </c>
      <c r="K22" s="23">
        <v>-0.15319148936170221</v>
      </c>
      <c r="L22" s="24">
        <v>0.22800000000000001</v>
      </c>
      <c r="M22" s="24">
        <v>0.41</v>
      </c>
      <c r="N22" s="13" t="s">
        <v>118</v>
      </c>
    </row>
    <row r="23" spans="1:14" x14ac:dyDescent="0.25">
      <c r="A23" s="18">
        <v>19</v>
      </c>
      <c r="B23" s="19" t="s">
        <v>78</v>
      </c>
      <c r="C23" s="20" t="s">
        <v>76</v>
      </c>
      <c r="D23" s="20" t="s">
        <v>117</v>
      </c>
      <c r="E23" s="21">
        <v>771</v>
      </c>
      <c r="F23" s="21">
        <v>25</v>
      </c>
      <c r="G23" s="22">
        <v>321.2</v>
      </c>
      <c r="H23" s="22">
        <v>33.200000000000003</v>
      </c>
      <c r="I23" s="22">
        <v>28.3</v>
      </c>
      <c r="J23" s="22">
        <v>-4.9000000000000004</v>
      </c>
      <c r="K23" s="23">
        <v>-0.14759036144578319</v>
      </c>
      <c r="L23" s="24">
        <v>0.21</v>
      </c>
      <c r="M23" s="24">
        <v>0.41</v>
      </c>
      <c r="N23" s="25" t="s">
        <v>120</v>
      </c>
    </row>
    <row r="24" spans="1:14" x14ac:dyDescent="0.25">
      <c r="A24" s="18">
        <v>20</v>
      </c>
      <c r="B24" s="19" t="s">
        <v>64</v>
      </c>
      <c r="C24" s="20" t="s">
        <v>65</v>
      </c>
      <c r="D24" s="20" t="s">
        <v>117</v>
      </c>
      <c r="E24" s="21">
        <v>771</v>
      </c>
      <c r="F24" s="21">
        <v>25</v>
      </c>
      <c r="G24" s="22">
        <v>321.2</v>
      </c>
      <c r="H24" s="22">
        <v>35.200000000000003</v>
      </c>
      <c r="I24" s="22">
        <v>29.3</v>
      </c>
      <c r="J24" s="22">
        <v>-5.9</v>
      </c>
      <c r="K24" s="23">
        <v>-0.16761363636363641</v>
      </c>
      <c r="L24" s="24">
        <v>0.27</v>
      </c>
      <c r="M24" s="24">
        <v>0.48599999999999999</v>
      </c>
      <c r="N24" s="25" t="s">
        <v>120</v>
      </c>
    </row>
    <row r="25" spans="1:14" x14ac:dyDescent="0.25">
      <c r="A25" s="18">
        <v>21</v>
      </c>
      <c r="B25" s="19" t="s">
        <v>74</v>
      </c>
      <c r="C25" s="20" t="s">
        <v>65</v>
      </c>
      <c r="D25" s="20" t="s">
        <v>117</v>
      </c>
      <c r="E25" s="21">
        <v>553</v>
      </c>
      <c r="F25" s="21">
        <v>33.340000000000003</v>
      </c>
      <c r="G25" s="22">
        <v>307.3</v>
      </c>
      <c r="H25" s="22">
        <v>22.7</v>
      </c>
      <c r="I25" s="22">
        <v>17.5</v>
      </c>
      <c r="J25" s="22">
        <v>-5.2</v>
      </c>
      <c r="K25" s="23">
        <v>-0.22907488986784141</v>
      </c>
      <c r="L25" s="24">
        <v>0.307</v>
      </c>
      <c r="M25" s="24">
        <v>0.55200000000000005</v>
      </c>
      <c r="N25" s="25" t="s">
        <v>120</v>
      </c>
    </row>
    <row r="26" spans="1:14" x14ac:dyDescent="0.25">
      <c r="A26" s="18">
        <v>22</v>
      </c>
      <c r="B26" s="19" t="s">
        <v>40</v>
      </c>
      <c r="C26" s="20" t="s">
        <v>38</v>
      </c>
      <c r="D26" s="20" t="s">
        <v>117</v>
      </c>
      <c r="E26" s="21">
        <v>720</v>
      </c>
      <c r="F26" s="21">
        <v>25</v>
      </c>
      <c r="G26" s="22">
        <v>300</v>
      </c>
      <c r="H26" s="22">
        <v>37.4</v>
      </c>
      <c r="I26" s="22">
        <v>28</v>
      </c>
      <c r="J26" s="22">
        <v>-9.4</v>
      </c>
      <c r="K26" s="23">
        <v>-0.25133689839572187</v>
      </c>
      <c r="L26" s="24">
        <v>0.27</v>
      </c>
      <c r="M26" s="24">
        <v>0.48599999999999999</v>
      </c>
      <c r="N26" s="25" t="s">
        <v>120</v>
      </c>
    </row>
    <row r="27" spans="1:14" x14ac:dyDescent="0.25">
      <c r="A27" s="18">
        <v>23</v>
      </c>
      <c r="B27" s="19" t="s">
        <v>41</v>
      </c>
      <c r="C27" s="20" t="s">
        <v>38</v>
      </c>
      <c r="D27" s="20" t="s">
        <v>117</v>
      </c>
      <c r="E27" s="21">
        <v>900</v>
      </c>
      <c r="F27" s="21">
        <v>20</v>
      </c>
      <c r="G27" s="22">
        <v>300</v>
      </c>
      <c r="H27" s="22">
        <v>35.299999999999997</v>
      </c>
      <c r="I27" s="22">
        <v>28.9</v>
      </c>
      <c r="J27" s="22">
        <v>-6.4</v>
      </c>
      <c r="K27" s="23">
        <v>-0.18130311614730879</v>
      </c>
      <c r="L27" s="24">
        <v>0.21</v>
      </c>
      <c r="M27" s="24">
        <v>0.378</v>
      </c>
      <c r="N27" s="25" t="s">
        <v>120</v>
      </c>
    </row>
    <row r="28" spans="1:14" x14ac:dyDescent="0.25">
      <c r="A28" s="18">
        <v>24</v>
      </c>
      <c r="B28" s="19" t="s">
        <v>52</v>
      </c>
      <c r="C28" s="20" t="s">
        <v>50</v>
      </c>
      <c r="D28" s="20" t="s">
        <v>117</v>
      </c>
      <c r="E28" s="21">
        <v>720</v>
      </c>
      <c r="F28" s="21">
        <v>25</v>
      </c>
      <c r="G28" s="22">
        <v>300</v>
      </c>
      <c r="H28" s="22">
        <v>39.4</v>
      </c>
      <c r="I28" s="22">
        <v>34.4</v>
      </c>
      <c r="J28" s="22">
        <v>-5</v>
      </c>
      <c r="K28" s="23">
        <v>-0.12690355329949241</v>
      </c>
      <c r="L28" s="24">
        <v>0.307</v>
      </c>
      <c r="M28" s="24">
        <v>0.48599999999999999</v>
      </c>
      <c r="N28" s="25" t="s">
        <v>120</v>
      </c>
    </row>
    <row r="29" spans="1:14" x14ac:dyDescent="0.25">
      <c r="A29" s="18">
        <v>25</v>
      </c>
      <c r="B29" s="19" t="s">
        <v>84</v>
      </c>
      <c r="C29" s="20" t="s">
        <v>76</v>
      </c>
      <c r="D29" s="20" t="s">
        <v>117</v>
      </c>
      <c r="E29" s="21">
        <v>900</v>
      </c>
      <c r="F29" s="21">
        <v>20</v>
      </c>
      <c r="G29" s="22">
        <v>300</v>
      </c>
      <c r="H29" s="22">
        <v>42.8</v>
      </c>
      <c r="I29" s="22">
        <v>35.5</v>
      </c>
      <c r="J29" s="22">
        <v>-7.3</v>
      </c>
      <c r="K29" s="23">
        <v>-0.17056074766355131</v>
      </c>
      <c r="L29" s="24">
        <v>0.17899999999999999</v>
      </c>
      <c r="M29" s="24">
        <v>0.32300000000000001</v>
      </c>
      <c r="N29" s="25" t="s">
        <v>120</v>
      </c>
    </row>
    <row r="30" spans="1:14" x14ac:dyDescent="0.25">
      <c r="A30" s="18">
        <v>26</v>
      </c>
      <c r="B30" s="19" t="s">
        <v>67</v>
      </c>
      <c r="C30" s="20" t="s">
        <v>65</v>
      </c>
      <c r="D30" s="20" t="s">
        <v>117</v>
      </c>
      <c r="E30" s="21">
        <v>720</v>
      </c>
      <c r="F30" s="21">
        <v>25</v>
      </c>
      <c r="G30" s="22">
        <v>300</v>
      </c>
      <c r="H30" s="22">
        <v>39.4</v>
      </c>
      <c r="I30" s="22">
        <v>31</v>
      </c>
      <c r="J30" s="22">
        <v>-8.4</v>
      </c>
      <c r="K30" s="23">
        <v>-0.21319796954314721</v>
      </c>
      <c r="L30" s="24">
        <v>0.27</v>
      </c>
      <c r="M30" s="24">
        <v>0.48599999999999999</v>
      </c>
      <c r="N30" s="25" t="s">
        <v>120</v>
      </c>
    </row>
    <row r="31" spans="1:14" x14ac:dyDescent="0.25">
      <c r="A31" s="18">
        <v>27</v>
      </c>
      <c r="B31" s="19" t="s">
        <v>37</v>
      </c>
      <c r="C31" s="20" t="s">
        <v>38</v>
      </c>
      <c r="D31" s="20" t="s">
        <v>117</v>
      </c>
      <c r="E31" s="21">
        <v>514</v>
      </c>
      <c r="F31" s="21">
        <v>33.340000000000003</v>
      </c>
      <c r="G31" s="22">
        <v>285.60000000000002</v>
      </c>
      <c r="H31" s="22">
        <v>25.4</v>
      </c>
      <c r="I31" s="22">
        <v>20</v>
      </c>
      <c r="J31" s="22">
        <v>-5.4</v>
      </c>
      <c r="K31" s="23">
        <v>-0.21259842519685029</v>
      </c>
      <c r="L31" s="24">
        <v>0.39200000000000002</v>
      </c>
      <c r="M31" s="24">
        <v>0.70599999999999996</v>
      </c>
      <c r="N31" s="25" t="s">
        <v>120</v>
      </c>
    </row>
    <row r="32" spans="1:14" x14ac:dyDescent="0.25">
      <c r="A32" s="18">
        <v>28</v>
      </c>
      <c r="B32" s="19" t="s">
        <v>68</v>
      </c>
      <c r="C32" s="20" t="s">
        <v>65</v>
      </c>
      <c r="D32" s="20" t="s">
        <v>117</v>
      </c>
      <c r="E32" s="21">
        <v>514</v>
      </c>
      <c r="F32" s="21">
        <v>33.340000000000003</v>
      </c>
      <c r="G32" s="22">
        <v>285.60000000000002</v>
      </c>
      <c r="H32" s="22">
        <v>38.799999999999997</v>
      </c>
      <c r="I32" s="22">
        <v>29.9</v>
      </c>
      <c r="J32" s="22">
        <v>-8.9</v>
      </c>
      <c r="K32" s="23">
        <v>-0.22938144329896909</v>
      </c>
      <c r="L32" s="24">
        <v>0.39200000000000002</v>
      </c>
      <c r="M32" s="24">
        <v>0.70599999999999996</v>
      </c>
      <c r="N32" s="25" t="s">
        <v>120</v>
      </c>
    </row>
    <row r="33" spans="1:14" x14ac:dyDescent="0.25">
      <c r="A33" s="18">
        <v>29</v>
      </c>
      <c r="B33" s="19" t="s">
        <v>82</v>
      </c>
      <c r="C33" s="20" t="s">
        <v>76</v>
      </c>
      <c r="D33" s="20" t="s">
        <v>117</v>
      </c>
      <c r="E33" s="21">
        <v>675</v>
      </c>
      <c r="F33" s="21">
        <v>25</v>
      </c>
      <c r="G33" s="22">
        <v>281.2</v>
      </c>
      <c r="H33" s="22">
        <v>16.2</v>
      </c>
      <c r="I33" s="22">
        <v>13</v>
      </c>
      <c r="J33" s="22">
        <v>-3.2</v>
      </c>
      <c r="K33" s="23">
        <v>-0.1975308641975308</v>
      </c>
      <c r="L33" s="24">
        <v>0.21</v>
      </c>
      <c r="M33" s="24">
        <v>0.41</v>
      </c>
      <c r="N33" s="25" t="s">
        <v>120</v>
      </c>
    </row>
    <row r="34" spans="1:14" x14ac:dyDescent="0.25">
      <c r="A34" s="18">
        <v>30</v>
      </c>
      <c r="B34" s="19" t="s">
        <v>72</v>
      </c>
      <c r="C34" s="20" t="s">
        <v>65</v>
      </c>
      <c r="D34" s="20" t="s">
        <v>117</v>
      </c>
      <c r="E34" s="21">
        <v>675</v>
      </c>
      <c r="F34" s="21">
        <v>25</v>
      </c>
      <c r="G34" s="22">
        <v>281.2</v>
      </c>
      <c r="H34" s="22">
        <v>39.700000000000003</v>
      </c>
      <c r="I34" s="22">
        <v>35.9</v>
      </c>
      <c r="J34" s="22">
        <v>-3.8</v>
      </c>
      <c r="K34" s="23">
        <v>-9.5717884130982464E-2</v>
      </c>
      <c r="L34" s="24">
        <v>0.307</v>
      </c>
      <c r="M34" s="24">
        <v>0.48599999999999999</v>
      </c>
      <c r="N34" s="25" t="s">
        <v>120</v>
      </c>
    </row>
    <row r="35" spans="1:14" x14ac:dyDescent="0.25">
      <c r="A35" s="18">
        <v>31</v>
      </c>
      <c r="B35" s="19" t="s">
        <v>42</v>
      </c>
      <c r="C35" s="20" t="s">
        <v>38</v>
      </c>
      <c r="D35" s="20" t="s">
        <v>117</v>
      </c>
      <c r="E35" s="21">
        <v>635</v>
      </c>
      <c r="F35" s="21">
        <v>25</v>
      </c>
      <c r="G35" s="22">
        <v>264.60000000000002</v>
      </c>
      <c r="H35" s="22">
        <v>29.4</v>
      </c>
      <c r="I35" s="22">
        <v>22.8</v>
      </c>
      <c r="J35" s="22">
        <v>-6.6</v>
      </c>
      <c r="K35" s="23">
        <v>-0.22448979591836729</v>
      </c>
      <c r="L35" s="24">
        <v>0.27</v>
      </c>
      <c r="M35" s="24">
        <v>0.48599999999999999</v>
      </c>
      <c r="N35" s="25" t="s">
        <v>120</v>
      </c>
    </row>
    <row r="36" spans="1:14" x14ac:dyDescent="0.25">
      <c r="A36" s="18">
        <v>32</v>
      </c>
      <c r="B36" s="19" t="s">
        <v>83</v>
      </c>
      <c r="C36" s="20" t="s">
        <v>76</v>
      </c>
      <c r="D36" s="20" t="s">
        <v>117</v>
      </c>
      <c r="E36" s="21">
        <v>635</v>
      </c>
      <c r="F36" s="21">
        <v>25</v>
      </c>
      <c r="G36" s="22">
        <v>264.60000000000002</v>
      </c>
      <c r="H36" s="22">
        <v>17.399999999999999</v>
      </c>
      <c r="I36" s="22">
        <v>13</v>
      </c>
      <c r="J36" s="22">
        <v>-4.4000000000000004</v>
      </c>
      <c r="K36" s="23">
        <v>-0.25287356321839072</v>
      </c>
      <c r="L36" s="24">
        <v>0.22800000000000001</v>
      </c>
      <c r="M36" s="24">
        <v>0.41</v>
      </c>
      <c r="N36" s="25" t="s">
        <v>120</v>
      </c>
    </row>
    <row r="37" spans="1:14" x14ac:dyDescent="0.25">
      <c r="A37" s="18">
        <v>33</v>
      </c>
      <c r="B37" s="19" t="s">
        <v>79</v>
      </c>
      <c r="C37" s="20" t="s">
        <v>76</v>
      </c>
      <c r="D37" s="20" t="s">
        <v>117</v>
      </c>
      <c r="E37" s="21">
        <v>947</v>
      </c>
      <c r="F37" s="21">
        <v>16.670000000000002</v>
      </c>
      <c r="G37" s="22">
        <v>263.10000000000002</v>
      </c>
      <c r="H37" s="22">
        <v>33.299999999999997</v>
      </c>
      <c r="I37" s="22">
        <v>27.8</v>
      </c>
      <c r="J37" s="22">
        <v>-5.5</v>
      </c>
      <c r="K37" s="23">
        <v>-0.16516516516516511</v>
      </c>
      <c r="L37" s="24">
        <v>0.16600000000000001</v>
      </c>
      <c r="M37" s="24">
        <v>0.29899999999999999</v>
      </c>
      <c r="N37" s="25" t="s">
        <v>120</v>
      </c>
    </row>
    <row r="38" spans="1:14" x14ac:dyDescent="0.25">
      <c r="A38" s="18">
        <v>34</v>
      </c>
      <c r="B38" s="19" t="s">
        <v>49</v>
      </c>
      <c r="C38" s="20" t="s">
        <v>50</v>
      </c>
      <c r="D38" s="20" t="s">
        <v>117</v>
      </c>
      <c r="E38" s="21">
        <v>720</v>
      </c>
      <c r="F38" s="21">
        <v>20</v>
      </c>
      <c r="G38" s="22">
        <v>240</v>
      </c>
      <c r="H38" s="22">
        <v>7.8</v>
      </c>
      <c r="I38" s="22">
        <v>7.4</v>
      </c>
      <c r="J38" s="22">
        <v>-0.4</v>
      </c>
      <c r="K38" s="23">
        <v>-5.1282051282051218E-2</v>
      </c>
      <c r="L38" s="24">
        <v>0.17899999999999999</v>
      </c>
      <c r="M38" s="24">
        <v>0.32300000000000001</v>
      </c>
      <c r="N38" s="25" t="s">
        <v>120</v>
      </c>
    </row>
    <row r="39" spans="1:14" x14ac:dyDescent="0.25">
      <c r="A39" s="18">
        <v>35</v>
      </c>
      <c r="B39" s="19" t="s">
        <v>46</v>
      </c>
      <c r="C39" s="20" t="s">
        <v>38</v>
      </c>
      <c r="D39" s="20" t="s">
        <v>117</v>
      </c>
      <c r="E39" s="21">
        <v>568</v>
      </c>
      <c r="F39" s="21">
        <v>25</v>
      </c>
      <c r="G39" s="22">
        <v>236.7</v>
      </c>
      <c r="H39" s="22">
        <v>17.3</v>
      </c>
      <c r="I39" s="22">
        <v>12.7</v>
      </c>
      <c r="J39" s="22">
        <v>-4.5999999999999996</v>
      </c>
      <c r="K39" s="23">
        <v>-0.26589595375722552</v>
      </c>
      <c r="L39" s="24">
        <v>0.27</v>
      </c>
      <c r="M39" s="24">
        <v>0.48599999999999999</v>
      </c>
      <c r="N39" s="25" t="s">
        <v>120</v>
      </c>
    </row>
    <row r="40" spans="1:14" x14ac:dyDescent="0.25">
      <c r="A40" s="18">
        <v>36</v>
      </c>
      <c r="B40" s="19" t="s">
        <v>73</v>
      </c>
      <c r="C40" s="20" t="s">
        <v>65</v>
      </c>
      <c r="D40" s="20" t="s">
        <v>117</v>
      </c>
      <c r="E40" s="21">
        <v>686</v>
      </c>
      <c r="F40" s="21">
        <v>20</v>
      </c>
      <c r="G40" s="22">
        <v>228.7</v>
      </c>
      <c r="H40" s="22">
        <v>18.899999999999999</v>
      </c>
      <c r="I40" s="22">
        <v>16.100000000000001</v>
      </c>
      <c r="J40" s="22">
        <v>-2.8</v>
      </c>
      <c r="K40" s="23">
        <v>-0.148148148148148</v>
      </c>
      <c r="L40" s="24">
        <v>0.21</v>
      </c>
      <c r="M40" s="24">
        <v>0.378</v>
      </c>
      <c r="N40" s="9" t="s">
        <v>121</v>
      </c>
    </row>
    <row r="41" spans="1:14" x14ac:dyDescent="0.25">
      <c r="A41" s="18">
        <v>37</v>
      </c>
      <c r="B41" s="19" t="s">
        <v>93</v>
      </c>
      <c r="C41" s="20" t="s">
        <v>86</v>
      </c>
      <c r="D41" s="20" t="s">
        <v>117</v>
      </c>
      <c r="E41" s="21">
        <v>818</v>
      </c>
      <c r="F41" s="21">
        <v>16.670000000000002</v>
      </c>
      <c r="G41" s="22">
        <v>227.3</v>
      </c>
      <c r="H41" s="22">
        <v>20.8</v>
      </c>
      <c r="I41" s="22">
        <v>18.399999999999999</v>
      </c>
      <c r="J41" s="22">
        <v>-2.4</v>
      </c>
      <c r="K41" s="23">
        <v>-0.1153846153846155</v>
      </c>
      <c r="L41" s="24">
        <v>0.151</v>
      </c>
      <c r="M41" s="24">
        <v>0.27200000000000002</v>
      </c>
      <c r="N41" s="9" t="s">
        <v>121</v>
      </c>
    </row>
    <row r="42" spans="1:14" x14ac:dyDescent="0.25">
      <c r="A42" s="18">
        <v>38</v>
      </c>
      <c r="B42" s="19" t="s">
        <v>66</v>
      </c>
      <c r="C42" s="20" t="s">
        <v>65</v>
      </c>
      <c r="D42" s="20" t="s">
        <v>117</v>
      </c>
      <c r="E42" s="21">
        <v>514</v>
      </c>
      <c r="F42" s="21">
        <v>25</v>
      </c>
      <c r="G42" s="22">
        <v>214.2</v>
      </c>
      <c r="H42" s="22">
        <v>10.9</v>
      </c>
      <c r="I42" s="22">
        <v>9.5</v>
      </c>
      <c r="J42" s="22">
        <v>-1.4</v>
      </c>
      <c r="K42" s="23">
        <v>-0.1284403669724771</v>
      </c>
      <c r="L42" s="24">
        <v>0.27</v>
      </c>
      <c r="M42" s="24">
        <v>0.48599999999999999</v>
      </c>
      <c r="N42" s="9" t="s">
        <v>121</v>
      </c>
    </row>
    <row r="43" spans="1:14" x14ac:dyDescent="0.25">
      <c r="A43" s="18">
        <v>39</v>
      </c>
      <c r="B43" s="19" t="s">
        <v>60</v>
      </c>
      <c r="C43" s="20" t="s">
        <v>59</v>
      </c>
      <c r="D43" s="20" t="s">
        <v>122</v>
      </c>
      <c r="E43" s="21">
        <v>450</v>
      </c>
      <c r="F43" s="21">
        <v>28.5</v>
      </c>
      <c r="G43" s="22">
        <v>213.8</v>
      </c>
      <c r="H43" s="22">
        <v>11</v>
      </c>
      <c r="I43" s="22">
        <v>11</v>
      </c>
      <c r="J43" s="22">
        <v>0</v>
      </c>
      <c r="K43" s="23">
        <v>0</v>
      </c>
      <c r="L43" s="24">
        <v>0</v>
      </c>
      <c r="M43" s="24">
        <v>0.29899999999999999</v>
      </c>
      <c r="N43" s="9" t="s">
        <v>121</v>
      </c>
    </row>
    <row r="44" spans="1:14" x14ac:dyDescent="0.25">
      <c r="A44" s="18">
        <v>40</v>
      </c>
      <c r="B44" s="19" t="s">
        <v>62</v>
      </c>
      <c r="C44" s="20" t="s">
        <v>59</v>
      </c>
      <c r="D44" s="20" t="s">
        <v>122</v>
      </c>
      <c r="E44" s="21">
        <v>300</v>
      </c>
      <c r="F44" s="21">
        <v>40</v>
      </c>
      <c r="G44" s="22">
        <v>200</v>
      </c>
      <c r="H44" s="22">
        <v>10</v>
      </c>
      <c r="I44" s="22">
        <v>10</v>
      </c>
      <c r="J44" s="22">
        <v>0</v>
      </c>
      <c r="K44" s="23">
        <v>0</v>
      </c>
      <c r="L44" s="24">
        <v>0</v>
      </c>
      <c r="M44" s="24">
        <v>0.378</v>
      </c>
      <c r="N44" s="9" t="s">
        <v>121</v>
      </c>
    </row>
    <row r="45" spans="1:14" x14ac:dyDescent="0.25">
      <c r="A45" s="18">
        <v>41</v>
      </c>
      <c r="B45" s="19" t="s">
        <v>89</v>
      </c>
      <c r="C45" s="20" t="s">
        <v>86</v>
      </c>
      <c r="D45" s="20" t="s">
        <v>122</v>
      </c>
      <c r="E45" s="21">
        <v>225</v>
      </c>
      <c r="F45" s="21">
        <v>50</v>
      </c>
      <c r="G45" s="22">
        <v>187.5</v>
      </c>
      <c r="H45" s="22">
        <v>15</v>
      </c>
      <c r="I45" s="22">
        <v>15</v>
      </c>
      <c r="J45" s="22">
        <v>0</v>
      </c>
      <c r="K45" s="23">
        <v>0</v>
      </c>
      <c r="L45" s="24">
        <v>0</v>
      </c>
      <c r="M45" s="24">
        <v>0.48599999999999999</v>
      </c>
      <c r="N45" s="9" t="s">
        <v>121</v>
      </c>
    </row>
    <row r="46" spans="1:14" x14ac:dyDescent="0.25">
      <c r="A46" s="18">
        <v>42</v>
      </c>
      <c r="B46" s="19" t="s">
        <v>90</v>
      </c>
      <c r="C46" s="20" t="s">
        <v>86</v>
      </c>
      <c r="D46" s="20" t="s">
        <v>122</v>
      </c>
      <c r="E46" s="21">
        <v>164</v>
      </c>
      <c r="F46" s="21">
        <v>66.67</v>
      </c>
      <c r="G46" s="22">
        <v>182.2</v>
      </c>
      <c r="H46" s="22">
        <v>12</v>
      </c>
      <c r="I46" s="22">
        <v>12</v>
      </c>
      <c r="J46" s="22">
        <v>0</v>
      </c>
      <c r="K46" s="23">
        <v>0</v>
      </c>
      <c r="L46" s="24">
        <v>0</v>
      </c>
      <c r="M46" s="24">
        <v>0.48599999999999999</v>
      </c>
      <c r="N46" s="9" t="s">
        <v>121</v>
      </c>
    </row>
    <row r="47" spans="1:14" x14ac:dyDescent="0.25">
      <c r="A47" s="18">
        <v>43</v>
      </c>
      <c r="B47" s="19" t="s">
        <v>91</v>
      </c>
      <c r="C47" s="20" t="s">
        <v>86</v>
      </c>
      <c r="D47" s="20" t="s">
        <v>122</v>
      </c>
      <c r="E47" s="21">
        <v>327</v>
      </c>
      <c r="F47" s="21">
        <v>33.340000000000003</v>
      </c>
      <c r="G47" s="22">
        <v>181.7</v>
      </c>
      <c r="H47" s="22">
        <v>12</v>
      </c>
      <c r="I47" s="22">
        <v>12</v>
      </c>
      <c r="J47" s="22">
        <v>0</v>
      </c>
      <c r="K47" s="23">
        <v>0</v>
      </c>
      <c r="L47" s="24">
        <v>0</v>
      </c>
      <c r="M47" s="24">
        <v>0.378</v>
      </c>
      <c r="N47" s="9" t="s">
        <v>121</v>
      </c>
    </row>
    <row r="48" spans="1:14" x14ac:dyDescent="0.25">
      <c r="A48" s="18">
        <v>44</v>
      </c>
      <c r="B48" s="19" t="s">
        <v>61</v>
      </c>
      <c r="C48" s="20" t="s">
        <v>59</v>
      </c>
      <c r="D48" s="20" t="s">
        <v>122</v>
      </c>
      <c r="E48" s="21">
        <v>257</v>
      </c>
      <c r="F48" s="21">
        <v>40</v>
      </c>
      <c r="G48" s="22">
        <v>171.3</v>
      </c>
      <c r="H48" s="22">
        <v>8</v>
      </c>
      <c r="I48" s="22">
        <v>8</v>
      </c>
      <c r="J48" s="22">
        <v>0</v>
      </c>
      <c r="K48" s="23">
        <v>0</v>
      </c>
      <c r="L48" s="24">
        <v>0</v>
      </c>
      <c r="M48" s="24">
        <v>0.378</v>
      </c>
      <c r="N48" s="9" t="s">
        <v>121</v>
      </c>
    </row>
    <row r="49" spans="1:14" x14ac:dyDescent="0.25">
      <c r="A49" s="18">
        <v>45</v>
      </c>
      <c r="B49" s="19" t="s">
        <v>58</v>
      </c>
      <c r="C49" s="20" t="s">
        <v>59</v>
      </c>
      <c r="D49" s="20" t="s">
        <v>122</v>
      </c>
      <c r="E49" s="21">
        <v>360</v>
      </c>
      <c r="F49" s="21">
        <v>28.5</v>
      </c>
      <c r="G49" s="22">
        <v>171</v>
      </c>
      <c r="H49" s="22">
        <v>8</v>
      </c>
      <c r="I49" s="22">
        <v>8</v>
      </c>
      <c r="J49" s="22">
        <v>0</v>
      </c>
      <c r="K49" s="23">
        <v>0</v>
      </c>
      <c r="L49" s="24">
        <v>0</v>
      </c>
      <c r="M49" s="24">
        <v>0.29899999999999999</v>
      </c>
      <c r="N49" s="9" t="s">
        <v>121</v>
      </c>
    </row>
    <row r="50" spans="1:14" x14ac:dyDescent="0.25">
      <c r="A50" s="18">
        <v>46</v>
      </c>
      <c r="B50" s="19" t="s">
        <v>63</v>
      </c>
      <c r="C50" s="20" t="s">
        <v>59</v>
      </c>
      <c r="D50" s="20" t="s">
        <v>122</v>
      </c>
      <c r="E50" s="21">
        <v>150</v>
      </c>
      <c r="F50" s="21">
        <v>66.67</v>
      </c>
      <c r="G50" s="22">
        <v>166.7</v>
      </c>
      <c r="H50" s="22">
        <v>20</v>
      </c>
      <c r="I50" s="22">
        <v>20</v>
      </c>
      <c r="J50" s="22">
        <v>0</v>
      </c>
      <c r="K50" s="23">
        <v>0</v>
      </c>
      <c r="L50" s="24">
        <v>0</v>
      </c>
      <c r="M50" s="24">
        <v>0.48599999999999999</v>
      </c>
      <c r="N50" s="9" t="s">
        <v>121</v>
      </c>
    </row>
    <row r="51" spans="1:14" x14ac:dyDescent="0.25">
      <c r="A51" s="18">
        <v>47</v>
      </c>
      <c r="B51" s="19" t="s">
        <v>92</v>
      </c>
      <c r="C51" s="20" t="s">
        <v>86</v>
      </c>
      <c r="D51" s="20" t="s">
        <v>122</v>
      </c>
      <c r="E51" s="21">
        <v>400</v>
      </c>
      <c r="F51" s="21">
        <v>25</v>
      </c>
      <c r="G51" s="22">
        <v>166.7</v>
      </c>
      <c r="H51" s="22">
        <v>15</v>
      </c>
      <c r="I51" s="22">
        <v>15</v>
      </c>
      <c r="J51" s="22">
        <v>0</v>
      </c>
      <c r="K51" s="23">
        <v>0</v>
      </c>
      <c r="L51" s="24">
        <v>0</v>
      </c>
      <c r="M51" s="24">
        <v>0.29899999999999999</v>
      </c>
      <c r="N51" s="9" t="s">
        <v>121</v>
      </c>
    </row>
    <row r="52" spans="1:14" x14ac:dyDescent="0.25">
      <c r="A52" s="18">
        <v>48</v>
      </c>
      <c r="B52" s="19" t="s">
        <v>85</v>
      </c>
      <c r="C52" s="20" t="s">
        <v>86</v>
      </c>
      <c r="D52" s="20" t="s">
        <v>122</v>
      </c>
      <c r="E52" s="21">
        <v>450</v>
      </c>
      <c r="F52" s="21">
        <v>20</v>
      </c>
      <c r="G52" s="22">
        <v>150</v>
      </c>
      <c r="H52" s="22">
        <v>15</v>
      </c>
      <c r="I52" s="22">
        <v>15</v>
      </c>
      <c r="J52" s="22">
        <v>0</v>
      </c>
      <c r="K52" s="23">
        <v>0</v>
      </c>
      <c r="L52" s="24">
        <v>0</v>
      </c>
      <c r="M52" s="24">
        <v>0.29899999999999999</v>
      </c>
      <c r="N52" s="9" t="s">
        <v>121</v>
      </c>
    </row>
    <row r="53" spans="1:14" x14ac:dyDescent="0.25">
      <c r="A53" s="18">
        <v>49</v>
      </c>
      <c r="B53" s="19" t="s">
        <v>87</v>
      </c>
      <c r="C53" s="20" t="s">
        <v>86</v>
      </c>
      <c r="D53" s="20" t="s">
        <v>122</v>
      </c>
      <c r="E53" s="21">
        <v>360</v>
      </c>
      <c r="F53" s="21">
        <v>25</v>
      </c>
      <c r="G53" s="22">
        <v>150</v>
      </c>
      <c r="H53" s="22">
        <v>12</v>
      </c>
      <c r="I53" s="22">
        <v>12</v>
      </c>
      <c r="J53" s="22">
        <v>0</v>
      </c>
      <c r="K53" s="23">
        <v>0</v>
      </c>
      <c r="L53" s="24">
        <v>0</v>
      </c>
      <c r="M53" s="24">
        <v>0.29899999999999999</v>
      </c>
      <c r="N53" s="9" t="s">
        <v>121</v>
      </c>
    </row>
    <row r="54" spans="1:14" x14ac:dyDescent="0.25">
      <c r="A54" s="18">
        <v>50</v>
      </c>
      <c r="B54" s="19" t="s">
        <v>94</v>
      </c>
      <c r="C54" s="20" t="s">
        <v>95</v>
      </c>
      <c r="D54" s="20" t="s">
        <v>123</v>
      </c>
      <c r="E54" s="21">
        <v>46</v>
      </c>
      <c r="F54" s="21">
        <v>80</v>
      </c>
      <c r="G54" s="22">
        <v>61.3</v>
      </c>
      <c r="H54" s="22">
        <v>4</v>
      </c>
      <c r="I54" s="22">
        <v>4</v>
      </c>
      <c r="J54" s="22">
        <v>0</v>
      </c>
      <c r="K54" s="23">
        <v>0</v>
      </c>
      <c r="L54" s="24">
        <v>0</v>
      </c>
      <c r="M54" s="24">
        <v>0.70599999999999996</v>
      </c>
      <c r="N54" s="9" t="s">
        <v>121</v>
      </c>
    </row>
    <row r="55" spans="1:14" x14ac:dyDescent="0.25">
      <c r="A55" s="18">
        <v>51</v>
      </c>
      <c r="B55" s="19" t="s">
        <v>96</v>
      </c>
      <c r="C55" s="20" t="s">
        <v>95</v>
      </c>
      <c r="D55" s="20" t="s">
        <v>123</v>
      </c>
      <c r="E55" s="21">
        <v>44</v>
      </c>
      <c r="F55" s="21">
        <v>80</v>
      </c>
      <c r="G55" s="22">
        <v>58.7</v>
      </c>
      <c r="H55" s="22">
        <v>10</v>
      </c>
      <c r="I55" s="22">
        <v>10</v>
      </c>
      <c r="J55" s="22">
        <v>0</v>
      </c>
      <c r="K55" s="23">
        <v>0</v>
      </c>
      <c r="L55" s="24">
        <v>0</v>
      </c>
      <c r="M55" s="24">
        <v>0.70599999999999996</v>
      </c>
      <c r="N55" s="9" t="s">
        <v>121</v>
      </c>
    </row>
    <row r="56" spans="1:14" x14ac:dyDescent="0.25">
      <c r="A56" s="18">
        <v>52</v>
      </c>
      <c r="B56" s="19" t="s">
        <v>97</v>
      </c>
      <c r="C56" s="20" t="s">
        <v>95</v>
      </c>
      <c r="D56" s="20" t="s">
        <v>123</v>
      </c>
      <c r="E56" s="21">
        <v>51</v>
      </c>
      <c r="F56" s="21">
        <v>64</v>
      </c>
      <c r="G56" s="22">
        <v>54.4</v>
      </c>
      <c r="H56" s="22">
        <v>5</v>
      </c>
      <c r="I56" s="22">
        <v>5</v>
      </c>
      <c r="J56" s="22">
        <v>0</v>
      </c>
      <c r="K56" s="23">
        <v>0</v>
      </c>
      <c r="L56" s="24">
        <v>0</v>
      </c>
      <c r="M56" s="24">
        <v>0.70599999999999996</v>
      </c>
      <c r="N56" s="9" t="s">
        <v>121</v>
      </c>
    </row>
    <row r="57" spans="1:14" x14ac:dyDescent="0.25">
      <c r="A57" s="18">
        <v>53</v>
      </c>
      <c r="B57" s="19" t="s">
        <v>98</v>
      </c>
      <c r="C57" s="20" t="s">
        <v>95</v>
      </c>
      <c r="D57" s="20" t="s">
        <v>123</v>
      </c>
      <c r="E57" s="21">
        <v>38</v>
      </c>
      <c r="F57" s="21">
        <v>80</v>
      </c>
      <c r="G57" s="22">
        <v>50.7</v>
      </c>
      <c r="H57" s="22">
        <v>12</v>
      </c>
      <c r="I57" s="22">
        <v>12</v>
      </c>
      <c r="J57" s="22">
        <v>0</v>
      </c>
      <c r="K57" s="23">
        <v>0</v>
      </c>
      <c r="L57" s="24">
        <v>0</v>
      </c>
      <c r="M57" s="24">
        <v>0.70599999999999996</v>
      </c>
      <c r="N57" s="9" t="s">
        <v>121</v>
      </c>
    </row>
    <row r="58" spans="1:14" x14ac:dyDescent="0.25">
      <c r="A58" s="18">
        <v>54</v>
      </c>
      <c r="B58" s="19" t="s">
        <v>99</v>
      </c>
      <c r="C58" s="20" t="s">
        <v>95</v>
      </c>
      <c r="D58" s="20" t="s">
        <v>123</v>
      </c>
      <c r="E58" s="21">
        <v>37</v>
      </c>
      <c r="F58" s="21">
        <v>80</v>
      </c>
      <c r="G58" s="22">
        <v>49.3</v>
      </c>
      <c r="H58" s="22">
        <v>10</v>
      </c>
      <c r="I58" s="22">
        <v>10</v>
      </c>
      <c r="J58" s="22">
        <v>0</v>
      </c>
      <c r="K58" s="23">
        <v>0</v>
      </c>
      <c r="L58" s="24">
        <v>0</v>
      </c>
      <c r="M58" s="24">
        <v>0.70599999999999996</v>
      </c>
      <c r="N58" s="9" t="s">
        <v>121</v>
      </c>
    </row>
  </sheetData>
  <mergeCells count="2">
    <mergeCell ref="A2:N2"/>
    <mergeCell ref="A1:N1"/>
  </mergeCells>
  <conditionalFormatting sqref="E5:E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5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5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5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5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showGridLines="0" tabSelected="1" workbookViewId="0">
      <pane ySplit="4" topLeftCell="A5" activePane="bottomLeft" state="frozen"/>
      <selection pane="bottomLeft" activeCell="J5" sqref="A5:Q42"/>
    </sheetView>
  </sheetViews>
  <sheetFormatPr defaultRowHeight="15" x14ac:dyDescent="0.25"/>
  <cols>
    <col min="1" max="1" width="6.140625" bestFit="1" customWidth="1"/>
    <col min="2" max="2" width="13.140625" bestFit="1" customWidth="1"/>
    <col min="3" max="3" width="11.42578125" bestFit="1" customWidth="1"/>
    <col min="4" max="4" width="11.28515625" bestFit="1" customWidth="1"/>
    <col min="5" max="5" width="5.85546875" bestFit="1" customWidth="1"/>
    <col min="6" max="6" width="10.28515625" bestFit="1" customWidth="1"/>
    <col min="7" max="7" width="23.5703125" bestFit="1" customWidth="1"/>
    <col min="8" max="8" width="9" customWidth="1"/>
    <col min="9" max="9" width="17.28515625" bestFit="1" customWidth="1"/>
    <col min="10" max="10" width="18" bestFit="1" customWidth="1"/>
    <col min="11" max="12" width="18" customWidth="1"/>
    <col min="13" max="13" width="7.85546875" bestFit="1" customWidth="1"/>
    <col min="14" max="14" width="8.85546875" bestFit="1" customWidth="1"/>
    <col min="15" max="15" width="16.140625" bestFit="1" customWidth="1"/>
    <col min="16" max="16" width="15.28515625" bestFit="1" customWidth="1"/>
    <col min="17" max="17" width="28.85546875" bestFit="1" customWidth="1"/>
  </cols>
  <sheetData>
    <row r="1" spans="1:17" ht="18" x14ac:dyDescent="0.25">
      <c r="A1" s="31" t="s">
        <v>124</v>
      </c>
    </row>
    <row r="2" spans="1:17" x14ac:dyDescent="0.25">
      <c r="A2" s="2" t="s">
        <v>125</v>
      </c>
    </row>
    <row r="4" spans="1:17" x14ac:dyDescent="0.25">
      <c r="A4" s="5" t="s">
        <v>105</v>
      </c>
      <c r="B4" s="5" t="s">
        <v>30</v>
      </c>
      <c r="C4" s="5" t="s">
        <v>31</v>
      </c>
      <c r="D4" s="5" t="s">
        <v>106</v>
      </c>
      <c r="E4" s="5" t="s">
        <v>107</v>
      </c>
      <c r="F4" s="5" t="s">
        <v>108</v>
      </c>
      <c r="G4" s="5" t="s">
        <v>109</v>
      </c>
      <c r="H4" s="5" t="s">
        <v>132</v>
      </c>
      <c r="I4" s="5" t="s">
        <v>110</v>
      </c>
      <c r="J4" s="5" t="s">
        <v>111</v>
      </c>
      <c r="K4" s="5" t="s">
        <v>142</v>
      </c>
      <c r="L4" s="5"/>
      <c r="M4" s="5" t="s">
        <v>112</v>
      </c>
      <c r="N4" s="5" t="s">
        <v>113</v>
      </c>
      <c r="O4" s="5" t="s">
        <v>114</v>
      </c>
      <c r="P4" s="5" t="s">
        <v>115</v>
      </c>
      <c r="Q4" s="5" t="s">
        <v>116</v>
      </c>
    </row>
    <row r="5" spans="1:17" x14ac:dyDescent="0.25">
      <c r="A5" s="18">
        <v>1</v>
      </c>
      <c r="B5" s="19" t="s">
        <v>77</v>
      </c>
      <c r="C5" s="20" t="s">
        <v>76</v>
      </c>
      <c r="D5" s="20" t="s">
        <v>117</v>
      </c>
      <c r="E5" s="21">
        <v>1080</v>
      </c>
      <c r="F5" s="21">
        <v>25</v>
      </c>
      <c r="G5" s="22">
        <v>450</v>
      </c>
      <c r="H5" s="29">
        <v>53.8</v>
      </c>
      <c r="I5" s="22">
        <v>57.6</v>
      </c>
      <c r="J5" s="22">
        <v>50</v>
      </c>
      <c r="K5" s="22">
        <f>I5-H5</f>
        <v>3.8000000000000043</v>
      </c>
      <c r="L5" s="22">
        <f>J5-H5</f>
        <v>-3.7999999999999972</v>
      </c>
      <c r="M5" s="22">
        <v>-7.6</v>
      </c>
      <c r="N5" s="23">
        <v>-0.1319444444444445</v>
      </c>
      <c r="O5" s="24">
        <v>0.21</v>
      </c>
      <c r="P5" s="24">
        <v>0.41</v>
      </c>
      <c r="Q5" s="13" t="s">
        <v>118</v>
      </c>
    </row>
    <row r="6" spans="1:17" x14ac:dyDescent="0.25">
      <c r="A6" s="18">
        <v>2</v>
      </c>
      <c r="B6" s="19" t="s">
        <v>80</v>
      </c>
      <c r="C6" s="20" t="s">
        <v>76</v>
      </c>
      <c r="D6" s="20" t="s">
        <v>117</v>
      </c>
      <c r="E6" s="21">
        <v>800</v>
      </c>
      <c r="F6" s="21">
        <v>33.340000000000003</v>
      </c>
      <c r="G6" s="22">
        <v>444.5</v>
      </c>
      <c r="H6" s="29">
        <v>28.6</v>
      </c>
      <c r="I6" s="22">
        <v>35</v>
      </c>
      <c r="J6" s="22">
        <v>33.5</v>
      </c>
      <c r="K6" s="22">
        <f>I6-H6</f>
        <v>6.3999999999999986</v>
      </c>
      <c r="L6" s="22">
        <f>J6-H6</f>
        <v>4.8999999999999986</v>
      </c>
      <c r="M6" s="22">
        <v>-1.5</v>
      </c>
      <c r="N6" s="23">
        <v>-4.2857142857142858E-2</v>
      </c>
      <c r="O6" s="24">
        <v>0.27</v>
      </c>
      <c r="P6" s="24">
        <v>0.55200000000000005</v>
      </c>
      <c r="Q6" s="13" t="s">
        <v>118</v>
      </c>
    </row>
    <row r="7" spans="1:17" x14ac:dyDescent="0.25">
      <c r="A7" s="18">
        <v>3</v>
      </c>
      <c r="B7" s="19" t="s">
        <v>75</v>
      </c>
      <c r="C7" s="20" t="s">
        <v>76</v>
      </c>
      <c r="D7" s="20" t="s">
        <v>117</v>
      </c>
      <c r="E7" s="21">
        <v>981</v>
      </c>
      <c r="F7" s="21">
        <v>25</v>
      </c>
      <c r="G7" s="22">
        <v>408.8</v>
      </c>
      <c r="H7" s="29">
        <v>52.6</v>
      </c>
      <c r="I7" s="22">
        <v>59.1</v>
      </c>
      <c r="J7" s="22">
        <v>50.8</v>
      </c>
      <c r="K7" s="22">
        <f>I7-H7</f>
        <v>6.5</v>
      </c>
      <c r="L7" s="22">
        <f>J7-H7</f>
        <v>-1.8000000000000043</v>
      </c>
      <c r="M7" s="22">
        <v>-8.3000000000000007</v>
      </c>
      <c r="N7" s="23">
        <v>-0.140439932318105</v>
      </c>
      <c r="O7" s="24">
        <v>0.21</v>
      </c>
      <c r="P7" s="24">
        <v>0.41</v>
      </c>
      <c r="Q7" s="13" t="s">
        <v>118</v>
      </c>
    </row>
    <row r="8" spans="1:17" x14ac:dyDescent="0.25">
      <c r="A8" s="18">
        <v>4</v>
      </c>
      <c r="B8" s="19" t="s">
        <v>47</v>
      </c>
      <c r="C8" s="20" t="s">
        <v>38</v>
      </c>
      <c r="D8" s="20" t="s">
        <v>117</v>
      </c>
      <c r="E8" s="21">
        <v>720</v>
      </c>
      <c r="F8" s="21">
        <v>33.340000000000003</v>
      </c>
      <c r="G8" s="22">
        <v>400.1</v>
      </c>
      <c r="H8" s="29">
        <v>47.1</v>
      </c>
      <c r="I8" s="22">
        <v>47.1</v>
      </c>
      <c r="J8" s="22">
        <v>40.799999999999997</v>
      </c>
      <c r="K8" s="22">
        <f>I8-H8</f>
        <v>0</v>
      </c>
      <c r="L8" s="22">
        <f>J8-H8</f>
        <v>-6.3000000000000043</v>
      </c>
      <c r="M8" s="22">
        <v>-6.3</v>
      </c>
      <c r="N8" s="23">
        <v>-0.1337579617834396</v>
      </c>
      <c r="O8" s="24">
        <v>0.39200000000000002</v>
      </c>
      <c r="P8" s="24">
        <v>0.70599999999999996</v>
      </c>
      <c r="Q8" s="13" t="s">
        <v>118</v>
      </c>
    </row>
    <row r="9" spans="1:17" x14ac:dyDescent="0.25">
      <c r="A9" s="18">
        <v>5</v>
      </c>
      <c r="B9" s="19" t="s">
        <v>56</v>
      </c>
      <c r="C9" s="20" t="s">
        <v>50</v>
      </c>
      <c r="D9" s="20" t="s">
        <v>117</v>
      </c>
      <c r="E9" s="21">
        <v>720</v>
      </c>
      <c r="F9" s="21">
        <v>33.340000000000003</v>
      </c>
      <c r="G9" s="22">
        <v>400.1</v>
      </c>
      <c r="H9" s="29">
        <v>33.799999999999997</v>
      </c>
      <c r="I9" s="22">
        <v>43.3</v>
      </c>
      <c r="J9" s="22">
        <v>35.799999999999997</v>
      </c>
      <c r="K9" s="22">
        <f>I9-H9</f>
        <v>9.5</v>
      </c>
      <c r="L9" s="22">
        <f>J9-H9</f>
        <v>2</v>
      </c>
      <c r="M9" s="22">
        <v>-7.5</v>
      </c>
      <c r="N9" s="23">
        <v>-0.17321016166281761</v>
      </c>
      <c r="O9" s="24">
        <v>0.27</v>
      </c>
      <c r="P9" s="24">
        <v>0.55200000000000005</v>
      </c>
      <c r="Q9" s="13" t="s">
        <v>118</v>
      </c>
    </row>
    <row r="10" spans="1:17" x14ac:dyDescent="0.25">
      <c r="A10" s="18">
        <v>6</v>
      </c>
      <c r="B10" s="19" t="s">
        <v>48</v>
      </c>
      <c r="C10" s="20" t="s">
        <v>38</v>
      </c>
      <c r="D10" s="20" t="s">
        <v>117</v>
      </c>
      <c r="E10" s="21">
        <v>900</v>
      </c>
      <c r="F10" s="21">
        <v>25</v>
      </c>
      <c r="G10" s="22">
        <v>375</v>
      </c>
      <c r="H10" s="29">
        <v>49.1</v>
      </c>
      <c r="I10" s="22">
        <v>64.900000000000006</v>
      </c>
      <c r="J10" s="22">
        <v>50.3</v>
      </c>
      <c r="K10" s="22">
        <f>I10-H10</f>
        <v>15.800000000000004</v>
      </c>
      <c r="L10" s="22">
        <f>J10-H10</f>
        <v>1.1999999999999957</v>
      </c>
      <c r="M10" s="22">
        <v>-14.6</v>
      </c>
      <c r="N10" s="23">
        <v>-0.22496147919876741</v>
      </c>
      <c r="O10" s="24">
        <v>0.27</v>
      </c>
      <c r="P10" s="24">
        <v>0.48599999999999999</v>
      </c>
      <c r="Q10" s="13" t="s">
        <v>118</v>
      </c>
    </row>
    <row r="11" spans="1:17" x14ac:dyDescent="0.25">
      <c r="A11" s="18">
        <v>7</v>
      </c>
      <c r="B11" s="19" t="s">
        <v>54</v>
      </c>
      <c r="C11" s="20" t="s">
        <v>50</v>
      </c>
      <c r="D11" s="20" t="s">
        <v>117</v>
      </c>
      <c r="E11" s="21">
        <v>900</v>
      </c>
      <c r="F11" s="21">
        <v>25</v>
      </c>
      <c r="G11" s="22">
        <v>375</v>
      </c>
      <c r="H11" s="29">
        <v>31.9</v>
      </c>
      <c r="I11" s="22">
        <v>37.9</v>
      </c>
      <c r="J11" s="22">
        <v>30.7</v>
      </c>
      <c r="K11" s="22">
        <f>I11-H11</f>
        <v>6</v>
      </c>
      <c r="L11" s="22">
        <f>J11-H11</f>
        <v>-1.1999999999999993</v>
      </c>
      <c r="M11" s="22">
        <v>-7.2</v>
      </c>
      <c r="N11" s="23">
        <v>-0.18997361477572561</v>
      </c>
      <c r="O11" s="24">
        <v>0.22800000000000001</v>
      </c>
      <c r="P11" s="24">
        <v>0.41</v>
      </c>
      <c r="Q11" s="13" t="s">
        <v>118</v>
      </c>
    </row>
    <row r="12" spans="1:17" x14ac:dyDescent="0.25">
      <c r="A12" s="18">
        <v>8</v>
      </c>
      <c r="B12" s="19" t="s">
        <v>45</v>
      </c>
      <c r="C12" s="20" t="s">
        <v>38</v>
      </c>
      <c r="D12" s="20" t="s">
        <v>117</v>
      </c>
      <c r="E12" s="21">
        <v>654</v>
      </c>
      <c r="F12" s="21">
        <v>33.340000000000003</v>
      </c>
      <c r="G12" s="22">
        <v>363.4</v>
      </c>
      <c r="H12" s="22">
        <v>35.299999999999997</v>
      </c>
      <c r="I12" s="22">
        <v>36.799999999999997</v>
      </c>
      <c r="J12" s="22">
        <v>28.9</v>
      </c>
      <c r="K12" s="22">
        <f>I12-H12</f>
        <v>1.5</v>
      </c>
      <c r="L12" s="22">
        <f>J12-H12</f>
        <v>-6.3999999999999986</v>
      </c>
      <c r="M12" s="22">
        <v>-7.9</v>
      </c>
      <c r="N12" s="23">
        <v>-0.21467391304347819</v>
      </c>
      <c r="O12" s="24">
        <v>0.307</v>
      </c>
      <c r="P12" s="24">
        <v>0.55200000000000005</v>
      </c>
      <c r="Q12" s="13" t="s">
        <v>118</v>
      </c>
    </row>
    <row r="13" spans="1:17" x14ac:dyDescent="0.25">
      <c r="A13" s="18">
        <v>9</v>
      </c>
      <c r="B13" s="19" t="s">
        <v>53</v>
      </c>
      <c r="C13" s="20" t="s">
        <v>50</v>
      </c>
      <c r="D13" s="20" t="s">
        <v>117</v>
      </c>
      <c r="E13" s="21">
        <v>654</v>
      </c>
      <c r="F13" s="21">
        <v>33.340000000000003</v>
      </c>
      <c r="G13" s="22">
        <v>363.4</v>
      </c>
      <c r="H13" s="22">
        <v>19</v>
      </c>
      <c r="I13" s="22">
        <v>19.8</v>
      </c>
      <c r="J13" s="22">
        <v>15.4</v>
      </c>
      <c r="K13" s="22">
        <f>I13-H13</f>
        <v>0.80000000000000071</v>
      </c>
      <c r="L13" s="22">
        <f>J13-H13</f>
        <v>-3.5999999999999996</v>
      </c>
      <c r="M13" s="22">
        <v>-4.4000000000000004</v>
      </c>
      <c r="N13" s="23">
        <v>-0.22222222222222221</v>
      </c>
      <c r="O13" s="24">
        <v>0.307</v>
      </c>
      <c r="P13" s="24">
        <v>0.55200000000000005</v>
      </c>
      <c r="Q13" s="13" t="s">
        <v>118</v>
      </c>
    </row>
    <row r="14" spans="1:17" x14ac:dyDescent="0.25">
      <c r="A14" s="18">
        <v>10</v>
      </c>
      <c r="B14" s="19" t="s">
        <v>69</v>
      </c>
      <c r="C14" s="20" t="s">
        <v>65</v>
      </c>
      <c r="D14" s="20" t="s">
        <v>117</v>
      </c>
      <c r="E14" s="21">
        <v>654</v>
      </c>
      <c r="F14" s="21">
        <v>33.340000000000003</v>
      </c>
      <c r="G14" s="22">
        <v>363.4</v>
      </c>
      <c r="H14" s="29">
        <v>38.6</v>
      </c>
      <c r="I14" s="22">
        <v>39.5</v>
      </c>
      <c r="J14" s="22">
        <v>31.8</v>
      </c>
      <c r="K14" s="22">
        <f>I14-H14</f>
        <v>0.89999999999999858</v>
      </c>
      <c r="L14" s="22">
        <f>J14-H14</f>
        <v>-6.8000000000000007</v>
      </c>
      <c r="M14" s="22">
        <v>-7.7</v>
      </c>
      <c r="N14" s="23">
        <v>-0.19493670886075951</v>
      </c>
      <c r="O14" s="24">
        <v>0.39200000000000002</v>
      </c>
      <c r="P14" s="24">
        <v>0.70599999999999996</v>
      </c>
      <c r="Q14" s="13" t="s">
        <v>118</v>
      </c>
    </row>
    <row r="15" spans="1:17" x14ac:dyDescent="0.25">
      <c r="A15" s="18">
        <v>11</v>
      </c>
      <c r="B15" s="19" t="s">
        <v>44</v>
      </c>
      <c r="C15" s="20" t="s">
        <v>38</v>
      </c>
      <c r="D15" s="20" t="s">
        <v>117</v>
      </c>
      <c r="E15" s="21">
        <v>830</v>
      </c>
      <c r="F15" s="21">
        <v>25</v>
      </c>
      <c r="G15" s="22">
        <v>345.8</v>
      </c>
      <c r="H15" s="29">
        <v>45.1</v>
      </c>
      <c r="I15" s="22">
        <v>50.9</v>
      </c>
      <c r="J15" s="22">
        <v>41.4</v>
      </c>
      <c r="K15" s="22">
        <f>I15-H15</f>
        <v>5.7999999999999972</v>
      </c>
      <c r="L15" s="22">
        <f>J15-H15</f>
        <v>-3.7000000000000028</v>
      </c>
      <c r="M15" s="22">
        <v>-9.5</v>
      </c>
      <c r="N15" s="23">
        <v>-0.18664047151277011</v>
      </c>
      <c r="O15" s="24">
        <v>0.27</v>
      </c>
      <c r="P15" s="24">
        <v>0.48599999999999999</v>
      </c>
      <c r="Q15" s="13" t="s">
        <v>118</v>
      </c>
    </row>
    <row r="16" spans="1:17" x14ac:dyDescent="0.25">
      <c r="A16" s="18">
        <v>12</v>
      </c>
      <c r="B16" s="19" t="s">
        <v>51</v>
      </c>
      <c r="C16" s="20" t="s">
        <v>50</v>
      </c>
      <c r="D16" s="20" t="s">
        <v>117</v>
      </c>
      <c r="E16" s="21">
        <v>830</v>
      </c>
      <c r="F16" s="21">
        <v>25</v>
      </c>
      <c r="G16" s="22">
        <v>345.8</v>
      </c>
      <c r="H16" s="29">
        <v>27.9</v>
      </c>
      <c r="I16" s="22">
        <v>31.2</v>
      </c>
      <c r="J16" s="22">
        <v>26.1</v>
      </c>
      <c r="K16" s="22">
        <f>I16-H16</f>
        <v>3.3000000000000007</v>
      </c>
      <c r="L16" s="22">
        <f>J16-H16</f>
        <v>-1.7999999999999972</v>
      </c>
      <c r="M16" s="22">
        <v>-5.0999999999999996</v>
      </c>
      <c r="N16" s="23">
        <v>-0.16346153846153841</v>
      </c>
      <c r="O16" s="24">
        <v>0.22800000000000001</v>
      </c>
      <c r="P16" s="24">
        <v>0.41</v>
      </c>
      <c r="Q16" s="13" t="s">
        <v>118</v>
      </c>
    </row>
    <row r="17" spans="1:17" x14ac:dyDescent="0.25">
      <c r="A17" s="18">
        <v>13</v>
      </c>
      <c r="B17" s="19" t="s">
        <v>81</v>
      </c>
      <c r="C17" s="20" t="s">
        <v>76</v>
      </c>
      <c r="D17" s="20" t="s">
        <v>117</v>
      </c>
      <c r="E17" s="21">
        <v>830</v>
      </c>
      <c r="F17" s="21">
        <v>25</v>
      </c>
      <c r="G17" s="22">
        <v>345.8</v>
      </c>
      <c r="H17" s="29">
        <v>36.700000000000003</v>
      </c>
      <c r="I17" s="22">
        <v>39.799999999999997</v>
      </c>
      <c r="J17" s="22">
        <v>31.7</v>
      </c>
      <c r="K17" s="22">
        <f>I17-H17</f>
        <v>3.0999999999999943</v>
      </c>
      <c r="L17" s="22">
        <f>J17-H17</f>
        <v>-5.0000000000000036</v>
      </c>
      <c r="M17" s="22">
        <v>-8.1</v>
      </c>
      <c r="N17" s="23">
        <v>-0.20351758793969851</v>
      </c>
      <c r="O17" s="24">
        <v>0.21</v>
      </c>
      <c r="P17" s="24">
        <v>0.41</v>
      </c>
      <c r="Q17" s="13" t="s">
        <v>118</v>
      </c>
    </row>
    <row r="18" spans="1:17" x14ac:dyDescent="0.25">
      <c r="A18" s="18">
        <v>14</v>
      </c>
      <c r="B18" s="19" t="s">
        <v>70</v>
      </c>
      <c r="C18" s="20" t="s">
        <v>65</v>
      </c>
      <c r="D18" s="20" t="s">
        <v>117</v>
      </c>
      <c r="E18" s="21">
        <v>830</v>
      </c>
      <c r="F18" s="21">
        <v>25</v>
      </c>
      <c r="G18" s="22">
        <v>345.8</v>
      </c>
      <c r="H18" s="29">
        <v>49</v>
      </c>
      <c r="I18" s="22">
        <v>55.9</v>
      </c>
      <c r="J18" s="22">
        <v>47.7</v>
      </c>
      <c r="K18" s="22">
        <f>I18-H18</f>
        <v>6.8999999999999986</v>
      </c>
      <c r="L18" s="22">
        <f>J18-H18</f>
        <v>-1.2999999999999972</v>
      </c>
      <c r="M18" s="22">
        <v>-8.1999999999999993</v>
      </c>
      <c r="N18" s="23">
        <v>-0.146690518783542</v>
      </c>
      <c r="O18" s="24">
        <v>0.27</v>
      </c>
      <c r="P18" s="24">
        <v>0.48599999999999999</v>
      </c>
      <c r="Q18" s="25" t="s">
        <v>120</v>
      </c>
    </row>
    <row r="19" spans="1:17" x14ac:dyDescent="0.25">
      <c r="A19" s="18">
        <v>15</v>
      </c>
      <c r="B19" s="19" t="s">
        <v>57</v>
      </c>
      <c r="C19" s="20" t="s">
        <v>50</v>
      </c>
      <c r="D19" s="20" t="s">
        <v>117</v>
      </c>
      <c r="E19" s="21">
        <v>600</v>
      </c>
      <c r="F19" s="21">
        <v>33.340000000000003</v>
      </c>
      <c r="G19" s="22">
        <v>333.4</v>
      </c>
      <c r="H19" s="22">
        <v>19.2</v>
      </c>
      <c r="I19" s="22">
        <v>19.2</v>
      </c>
      <c r="J19" s="22">
        <v>15.8</v>
      </c>
      <c r="K19" s="22">
        <f>I19-H19</f>
        <v>0</v>
      </c>
      <c r="L19" s="22">
        <f>J19-H19</f>
        <v>-3.3999999999999986</v>
      </c>
      <c r="M19" s="22">
        <v>-3.4</v>
      </c>
      <c r="N19" s="23">
        <v>-0.17708333333333329</v>
      </c>
      <c r="O19" s="24">
        <v>0.27</v>
      </c>
      <c r="P19" s="24">
        <v>0.55200000000000005</v>
      </c>
      <c r="Q19" s="25" t="s">
        <v>120</v>
      </c>
    </row>
    <row r="20" spans="1:17" x14ac:dyDescent="0.25">
      <c r="A20" s="18">
        <v>16</v>
      </c>
      <c r="B20" s="19" t="s">
        <v>71</v>
      </c>
      <c r="C20" s="20" t="s">
        <v>65</v>
      </c>
      <c r="D20" s="20" t="s">
        <v>117</v>
      </c>
      <c r="E20" s="21">
        <v>600</v>
      </c>
      <c r="F20" s="21">
        <v>33.340000000000003</v>
      </c>
      <c r="G20" s="22">
        <v>333.4</v>
      </c>
      <c r="H20" s="22">
        <v>40.5</v>
      </c>
      <c r="I20" s="22">
        <v>41.8</v>
      </c>
      <c r="J20" s="22">
        <v>34.5</v>
      </c>
      <c r="K20" s="22">
        <f>I20-H20</f>
        <v>1.2999999999999972</v>
      </c>
      <c r="L20" s="22">
        <f>J20-H20</f>
        <v>-6</v>
      </c>
      <c r="M20" s="22">
        <v>-7.3</v>
      </c>
      <c r="N20" s="23">
        <v>-0.17464114832535879</v>
      </c>
      <c r="O20" s="24">
        <v>0.39200000000000002</v>
      </c>
      <c r="P20" s="24">
        <v>0.70599999999999996</v>
      </c>
      <c r="Q20" s="25" t="s">
        <v>120</v>
      </c>
    </row>
    <row r="21" spans="1:17" x14ac:dyDescent="0.25">
      <c r="A21" s="18">
        <v>17</v>
      </c>
      <c r="B21" s="19" t="s">
        <v>43</v>
      </c>
      <c r="C21" s="20" t="s">
        <v>38</v>
      </c>
      <c r="D21" s="20" t="s">
        <v>119</v>
      </c>
      <c r="E21" s="21">
        <v>771</v>
      </c>
      <c r="F21" s="21">
        <v>25</v>
      </c>
      <c r="G21" s="22">
        <v>321.2</v>
      </c>
      <c r="H21" s="22"/>
      <c r="I21" s="22">
        <v>46.4</v>
      </c>
      <c r="J21" s="22">
        <v>37.5</v>
      </c>
      <c r="K21" s="22"/>
      <c r="L21" s="22"/>
      <c r="M21" s="22">
        <v>-8.9</v>
      </c>
      <c r="N21" s="23">
        <v>-0.19181034482758619</v>
      </c>
      <c r="O21" s="24">
        <v>0.27</v>
      </c>
      <c r="P21" s="24">
        <v>0.48599999999999999</v>
      </c>
      <c r="Q21" s="25" t="s">
        <v>120</v>
      </c>
    </row>
    <row r="22" spans="1:17" x14ac:dyDescent="0.25">
      <c r="A22" s="18">
        <v>18</v>
      </c>
      <c r="B22" s="19" t="s">
        <v>55</v>
      </c>
      <c r="C22" s="20" t="s">
        <v>50</v>
      </c>
      <c r="D22" s="20" t="s">
        <v>117</v>
      </c>
      <c r="E22" s="21">
        <v>771</v>
      </c>
      <c r="F22" s="21">
        <v>25</v>
      </c>
      <c r="G22" s="22">
        <v>321.2</v>
      </c>
      <c r="H22" s="22">
        <v>22.5</v>
      </c>
      <c r="I22" s="22">
        <v>23.5</v>
      </c>
      <c r="J22" s="22">
        <v>19.899999999999999</v>
      </c>
      <c r="K22" s="22">
        <f>I22-H22</f>
        <v>1</v>
      </c>
      <c r="L22" s="22">
        <f>J22-H22</f>
        <v>-2.6000000000000014</v>
      </c>
      <c r="M22" s="22">
        <v>-3.6</v>
      </c>
      <c r="N22" s="23">
        <v>-0.15319148936170221</v>
      </c>
      <c r="O22" s="24">
        <v>0.22800000000000001</v>
      </c>
      <c r="P22" s="24">
        <v>0.41</v>
      </c>
      <c r="Q22" s="25" t="s">
        <v>120</v>
      </c>
    </row>
    <row r="23" spans="1:17" x14ac:dyDescent="0.25">
      <c r="A23" s="18">
        <v>19</v>
      </c>
      <c r="B23" s="19" t="s">
        <v>78</v>
      </c>
      <c r="C23" s="20" t="s">
        <v>76</v>
      </c>
      <c r="D23" s="20" t="s">
        <v>117</v>
      </c>
      <c r="E23" s="21">
        <v>771</v>
      </c>
      <c r="F23" s="21">
        <v>25</v>
      </c>
      <c r="G23" s="22">
        <v>321.2</v>
      </c>
      <c r="H23" s="29">
        <v>31.4</v>
      </c>
      <c r="I23" s="22">
        <v>33.200000000000003</v>
      </c>
      <c r="J23" s="22">
        <v>28.3</v>
      </c>
      <c r="K23" s="22">
        <f>I23-H23</f>
        <v>1.8000000000000043</v>
      </c>
      <c r="L23" s="22">
        <f>J23-H23</f>
        <v>-3.0999999999999979</v>
      </c>
      <c r="M23" s="22">
        <v>-4.9000000000000004</v>
      </c>
      <c r="N23" s="23">
        <v>-0.14759036144578319</v>
      </c>
      <c r="O23" s="24">
        <v>0.21</v>
      </c>
      <c r="P23" s="24">
        <v>0.41</v>
      </c>
      <c r="Q23" s="25" t="s">
        <v>120</v>
      </c>
    </row>
    <row r="24" spans="1:17" x14ac:dyDescent="0.25">
      <c r="A24" s="18">
        <v>20</v>
      </c>
      <c r="B24" s="19" t="s">
        <v>64</v>
      </c>
      <c r="C24" s="20" t="s">
        <v>65</v>
      </c>
      <c r="D24" s="20" t="s">
        <v>117</v>
      </c>
      <c r="E24" s="21">
        <v>771</v>
      </c>
      <c r="F24" s="21">
        <v>25</v>
      </c>
      <c r="G24" s="22">
        <v>321.2</v>
      </c>
      <c r="H24" s="22">
        <v>33.799999999999997</v>
      </c>
      <c r="I24" s="22">
        <v>35.200000000000003</v>
      </c>
      <c r="J24" s="22">
        <v>29.3</v>
      </c>
      <c r="K24" s="22">
        <f>I24-H24</f>
        <v>1.4000000000000057</v>
      </c>
      <c r="L24" s="22">
        <f>J24-H24</f>
        <v>-4.4999999999999964</v>
      </c>
      <c r="M24" s="22">
        <v>-5.9</v>
      </c>
      <c r="N24" s="23">
        <v>-0.16761363636363641</v>
      </c>
      <c r="O24" s="24">
        <v>0.27</v>
      </c>
      <c r="P24" s="24">
        <v>0.48599999999999999</v>
      </c>
      <c r="Q24" s="25" t="s">
        <v>120</v>
      </c>
    </row>
    <row r="25" spans="1:17" x14ac:dyDescent="0.25">
      <c r="A25" s="18">
        <v>21</v>
      </c>
      <c r="B25" s="19" t="s">
        <v>74</v>
      </c>
      <c r="C25" s="20" t="s">
        <v>65</v>
      </c>
      <c r="D25" s="20" t="s">
        <v>117</v>
      </c>
      <c r="E25" s="21">
        <v>553</v>
      </c>
      <c r="F25" s="21">
        <v>33.340000000000003</v>
      </c>
      <c r="G25" s="22">
        <v>307.3</v>
      </c>
      <c r="H25" s="22">
        <v>22.7</v>
      </c>
      <c r="I25" s="22">
        <v>22.7</v>
      </c>
      <c r="J25" s="22">
        <v>17.5</v>
      </c>
      <c r="K25" s="22">
        <f>I25-H25</f>
        <v>0</v>
      </c>
      <c r="L25" s="22">
        <f>J25-H25</f>
        <v>-5.1999999999999993</v>
      </c>
      <c r="M25" s="22">
        <v>-5.2</v>
      </c>
      <c r="N25" s="23">
        <v>-0.22907488986784141</v>
      </c>
      <c r="O25" s="24">
        <v>0.307</v>
      </c>
      <c r="P25" s="24">
        <v>0.55200000000000005</v>
      </c>
      <c r="Q25" s="25" t="s">
        <v>120</v>
      </c>
    </row>
    <row r="26" spans="1:17" x14ac:dyDescent="0.25">
      <c r="A26" s="18">
        <v>22</v>
      </c>
      <c r="B26" s="19" t="s">
        <v>40</v>
      </c>
      <c r="C26" s="20" t="s">
        <v>38</v>
      </c>
      <c r="D26" s="20" t="s">
        <v>117</v>
      </c>
      <c r="E26" s="21">
        <v>720</v>
      </c>
      <c r="F26" s="21">
        <v>25</v>
      </c>
      <c r="G26" s="22">
        <v>300</v>
      </c>
      <c r="H26" s="22">
        <v>37.4</v>
      </c>
      <c r="I26" s="22">
        <v>37.4</v>
      </c>
      <c r="J26" s="22">
        <v>28</v>
      </c>
      <c r="K26" s="22">
        <f>I26-H26</f>
        <v>0</v>
      </c>
      <c r="L26" s="22">
        <f>J26-H26</f>
        <v>-9.3999999999999986</v>
      </c>
      <c r="M26" s="22">
        <v>-9.4</v>
      </c>
      <c r="N26" s="23">
        <v>-0.25133689839572187</v>
      </c>
      <c r="O26" s="24">
        <v>0.27</v>
      </c>
      <c r="P26" s="24">
        <v>0.48599999999999999</v>
      </c>
      <c r="Q26" s="25" t="s">
        <v>120</v>
      </c>
    </row>
    <row r="27" spans="1:17" x14ac:dyDescent="0.25">
      <c r="A27" s="18">
        <v>23</v>
      </c>
      <c r="B27" s="19" t="s">
        <v>41</v>
      </c>
      <c r="C27" s="20" t="s">
        <v>38</v>
      </c>
      <c r="D27" s="20" t="s">
        <v>117</v>
      </c>
      <c r="E27" s="21">
        <v>900</v>
      </c>
      <c r="F27" s="21">
        <v>20</v>
      </c>
      <c r="G27" s="22">
        <v>300</v>
      </c>
      <c r="H27" s="22">
        <v>35.9</v>
      </c>
      <c r="I27" s="22">
        <v>35.299999999999997</v>
      </c>
      <c r="J27" s="22">
        <v>28.9</v>
      </c>
      <c r="K27" s="22">
        <f>I27-H27</f>
        <v>-0.60000000000000142</v>
      </c>
      <c r="L27" s="22">
        <f>J27-H27</f>
        <v>-7</v>
      </c>
      <c r="M27" s="22">
        <v>-6.4</v>
      </c>
      <c r="N27" s="23">
        <v>-0.18130311614730879</v>
      </c>
      <c r="O27" s="24">
        <v>0.21</v>
      </c>
      <c r="P27" s="24">
        <v>0.378</v>
      </c>
      <c r="Q27" s="25" t="s">
        <v>120</v>
      </c>
    </row>
    <row r="28" spans="1:17" x14ac:dyDescent="0.25">
      <c r="A28" s="18">
        <v>24</v>
      </c>
      <c r="B28" s="19" t="s">
        <v>52</v>
      </c>
      <c r="C28" s="20" t="s">
        <v>50</v>
      </c>
      <c r="D28" s="20" t="s">
        <v>117</v>
      </c>
      <c r="E28" s="21">
        <v>720</v>
      </c>
      <c r="F28" s="21">
        <v>25</v>
      </c>
      <c r="G28" s="22">
        <v>300</v>
      </c>
      <c r="H28" s="22">
        <v>39.4</v>
      </c>
      <c r="I28" s="22">
        <v>39.4</v>
      </c>
      <c r="J28" s="22">
        <v>34.4</v>
      </c>
      <c r="K28" s="22">
        <f>I28-H28</f>
        <v>0</v>
      </c>
      <c r="L28" s="22">
        <f>J28-H28</f>
        <v>-5</v>
      </c>
      <c r="M28" s="22">
        <v>-5</v>
      </c>
      <c r="N28" s="23">
        <v>-0.12690355329949241</v>
      </c>
      <c r="O28" s="24">
        <v>0.307</v>
      </c>
      <c r="P28" s="24">
        <v>0.48599999999999999</v>
      </c>
      <c r="Q28" s="25" t="s">
        <v>120</v>
      </c>
    </row>
    <row r="29" spans="1:17" x14ac:dyDescent="0.25">
      <c r="A29" s="18">
        <v>25</v>
      </c>
      <c r="B29" s="19" t="s">
        <v>84</v>
      </c>
      <c r="C29" s="20" t="s">
        <v>76</v>
      </c>
      <c r="D29" s="20" t="s">
        <v>117</v>
      </c>
      <c r="E29" s="21">
        <v>900</v>
      </c>
      <c r="F29" s="21">
        <v>20</v>
      </c>
      <c r="G29" s="22">
        <v>300</v>
      </c>
      <c r="H29" s="22">
        <v>42.8</v>
      </c>
      <c r="I29" s="22">
        <v>42.8</v>
      </c>
      <c r="J29" s="22">
        <v>35.5</v>
      </c>
      <c r="K29" s="22">
        <f>I29-H29</f>
        <v>0</v>
      </c>
      <c r="L29" s="22">
        <f>J29-H29</f>
        <v>-7.2999999999999972</v>
      </c>
      <c r="M29" s="22">
        <v>-7.3</v>
      </c>
      <c r="N29" s="23">
        <v>-0.17056074766355131</v>
      </c>
      <c r="O29" s="24">
        <v>0.17899999999999999</v>
      </c>
      <c r="P29" s="24">
        <v>0.32300000000000001</v>
      </c>
      <c r="Q29" s="25" t="s">
        <v>120</v>
      </c>
    </row>
    <row r="30" spans="1:17" x14ac:dyDescent="0.25">
      <c r="A30" s="18">
        <v>26</v>
      </c>
      <c r="B30" s="19" t="s">
        <v>67</v>
      </c>
      <c r="C30" s="20" t="s">
        <v>65</v>
      </c>
      <c r="D30" s="20" t="s">
        <v>117</v>
      </c>
      <c r="E30" s="21">
        <v>720</v>
      </c>
      <c r="F30" s="21">
        <v>25</v>
      </c>
      <c r="G30" s="22">
        <v>300</v>
      </c>
      <c r="H30" s="22">
        <v>39.4</v>
      </c>
      <c r="I30" s="22">
        <v>39.4</v>
      </c>
      <c r="J30" s="22">
        <v>31</v>
      </c>
      <c r="K30" s="22">
        <f>I30-H30</f>
        <v>0</v>
      </c>
      <c r="L30" s="22">
        <f>J30-H30</f>
        <v>-8.3999999999999986</v>
      </c>
      <c r="M30" s="22">
        <v>-8.4</v>
      </c>
      <c r="N30" s="23">
        <v>-0.21319796954314721</v>
      </c>
      <c r="O30" s="24">
        <v>0.27</v>
      </c>
      <c r="P30" s="24">
        <v>0.48599999999999999</v>
      </c>
      <c r="Q30" s="9" t="s">
        <v>121</v>
      </c>
    </row>
    <row r="31" spans="1:17" x14ac:dyDescent="0.25">
      <c r="A31" s="18">
        <v>27</v>
      </c>
      <c r="B31" s="19" t="s">
        <v>37</v>
      </c>
      <c r="C31" s="20" t="s">
        <v>38</v>
      </c>
      <c r="D31" s="20" t="s">
        <v>117</v>
      </c>
      <c r="E31" s="21">
        <v>514</v>
      </c>
      <c r="F31" s="21">
        <v>33.340000000000003</v>
      </c>
      <c r="G31" s="22">
        <v>285.60000000000002</v>
      </c>
      <c r="H31" s="22">
        <v>25.4</v>
      </c>
      <c r="I31" s="22">
        <v>25.4</v>
      </c>
      <c r="J31" s="22">
        <v>20</v>
      </c>
      <c r="K31" s="22">
        <f>I31-H31</f>
        <v>0</v>
      </c>
      <c r="L31" s="22">
        <f>J31-H31</f>
        <v>-5.3999999999999986</v>
      </c>
      <c r="M31" s="22">
        <v>-5.4</v>
      </c>
      <c r="N31" s="23">
        <v>-0.21259842519685029</v>
      </c>
      <c r="O31" s="24">
        <v>0.39200000000000002</v>
      </c>
      <c r="P31" s="24">
        <v>0.70599999999999996</v>
      </c>
      <c r="Q31" s="9" t="s">
        <v>121</v>
      </c>
    </row>
    <row r="32" spans="1:17" x14ac:dyDescent="0.25">
      <c r="A32" s="18">
        <v>28</v>
      </c>
      <c r="B32" s="19" t="s">
        <v>68</v>
      </c>
      <c r="C32" s="20" t="s">
        <v>65</v>
      </c>
      <c r="D32" s="20" t="s">
        <v>117</v>
      </c>
      <c r="E32" s="21">
        <v>514</v>
      </c>
      <c r="F32" s="21">
        <v>33.340000000000003</v>
      </c>
      <c r="G32" s="22">
        <v>285.60000000000002</v>
      </c>
      <c r="H32" s="22">
        <v>38.799999999999997</v>
      </c>
      <c r="I32" s="22">
        <v>38.799999999999997</v>
      </c>
      <c r="J32" s="22">
        <v>29.9</v>
      </c>
      <c r="K32" s="22">
        <f>I32-H32</f>
        <v>0</v>
      </c>
      <c r="L32" s="22">
        <f>J32-H32</f>
        <v>-8.8999999999999986</v>
      </c>
      <c r="M32" s="22">
        <v>-8.9</v>
      </c>
      <c r="N32" s="23">
        <v>-0.22938144329896909</v>
      </c>
      <c r="O32" s="24">
        <v>0.39200000000000002</v>
      </c>
      <c r="P32" s="24">
        <v>0.70599999999999996</v>
      </c>
      <c r="Q32" s="9" t="s">
        <v>121</v>
      </c>
    </row>
    <row r="33" spans="1:17" x14ac:dyDescent="0.25">
      <c r="A33" s="18">
        <v>29</v>
      </c>
      <c r="B33" s="19" t="s">
        <v>82</v>
      </c>
      <c r="C33" s="20" t="s">
        <v>76</v>
      </c>
      <c r="D33" s="20" t="s">
        <v>117</v>
      </c>
      <c r="E33" s="21">
        <v>675</v>
      </c>
      <c r="F33" s="21">
        <v>25</v>
      </c>
      <c r="G33" s="22">
        <v>281.2</v>
      </c>
      <c r="H33" s="22">
        <v>16.2</v>
      </c>
      <c r="I33" s="22">
        <v>16.2</v>
      </c>
      <c r="J33" s="22">
        <v>13</v>
      </c>
      <c r="K33" s="22">
        <f>I33-H33</f>
        <v>0</v>
      </c>
      <c r="L33" s="22">
        <f>J33-H33</f>
        <v>-3.1999999999999993</v>
      </c>
      <c r="M33" s="22">
        <v>-3.2</v>
      </c>
      <c r="N33" s="23">
        <v>-0.1975308641975308</v>
      </c>
      <c r="O33" s="24">
        <v>0.21</v>
      </c>
      <c r="P33" s="24">
        <v>0.41</v>
      </c>
      <c r="Q33" s="9" t="s">
        <v>121</v>
      </c>
    </row>
    <row r="34" spans="1:17" x14ac:dyDescent="0.25">
      <c r="A34" s="18">
        <v>30</v>
      </c>
      <c r="B34" s="19" t="s">
        <v>72</v>
      </c>
      <c r="C34" s="20" t="s">
        <v>65</v>
      </c>
      <c r="D34" s="20" t="s">
        <v>117</v>
      </c>
      <c r="E34" s="21">
        <v>675</v>
      </c>
      <c r="F34" s="21">
        <v>25</v>
      </c>
      <c r="G34" s="22">
        <v>281.2</v>
      </c>
      <c r="H34" s="22">
        <v>35.200000000000003</v>
      </c>
      <c r="I34" s="22">
        <v>39.700000000000003</v>
      </c>
      <c r="J34" s="22">
        <v>35.9</v>
      </c>
      <c r="K34" s="22">
        <f>I34-H34</f>
        <v>4.5</v>
      </c>
      <c r="L34" s="22">
        <f>J34-H34</f>
        <v>0.69999999999999574</v>
      </c>
      <c r="M34" s="22">
        <v>-3.8</v>
      </c>
      <c r="N34" s="23">
        <v>-9.5717884130982464E-2</v>
      </c>
      <c r="O34" s="24">
        <v>0.307</v>
      </c>
      <c r="P34" s="24">
        <v>0.48599999999999999</v>
      </c>
      <c r="Q34" s="9" t="s">
        <v>121</v>
      </c>
    </row>
    <row r="35" spans="1:17" x14ac:dyDescent="0.25">
      <c r="A35" s="18">
        <v>31</v>
      </c>
      <c r="B35" s="19" t="s">
        <v>42</v>
      </c>
      <c r="C35" s="20" t="s">
        <v>38</v>
      </c>
      <c r="D35" s="20" t="s">
        <v>117</v>
      </c>
      <c r="E35" s="21">
        <v>635</v>
      </c>
      <c r="F35" s="21">
        <v>25</v>
      </c>
      <c r="G35" s="22">
        <v>264.60000000000002</v>
      </c>
      <c r="H35" s="22">
        <v>29.4</v>
      </c>
      <c r="I35" s="22">
        <v>29.4</v>
      </c>
      <c r="J35" s="22">
        <v>22.8</v>
      </c>
      <c r="K35" s="22">
        <f>I35-H35</f>
        <v>0</v>
      </c>
      <c r="L35" s="22">
        <f>J35-H35</f>
        <v>-6.5999999999999979</v>
      </c>
      <c r="M35" s="22">
        <v>-6.6</v>
      </c>
      <c r="N35" s="23">
        <v>-0.22448979591836729</v>
      </c>
      <c r="O35" s="24">
        <v>0.27</v>
      </c>
      <c r="P35" s="24">
        <v>0.48599999999999999</v>
      </c>
      <c r="Q35" s="9" t="s">
        <v>121</v>
      </c>
    </row>
    <row r="36" spans="1:17" x14ac:dyDescent="0.25">
      <c r="A36" s="18">
        <v>32</v>
      </c>
      <c r="B36" s="19" t="s">
        <v>83</v>
      </c>
      <c r="C36" s="20" t="s">
        <v>76</v>
      </c>
      <c r="D36" s="20" t="s">
        <v>117</v>
      </c>
      <c r="E36" s="21">
        <v>635</v>
      </c>
      <c r="F36" s="21">
        <v>25</v>
      </c>
      <c r="G36" s="22">
        <v>264.60000000000002</v>
      </c>
      <c r="H36" s="22">
        <v>17.399999999999999</v>
      </c>
      <c r="I36" s="22">
        <v>17.399999999999999</v>
      </c>
      <c r="J36" s="22">
        <v>13</v>
      </c>
      <c r="K36" s="22">
        <f>I36-H36</f>
        <v>0</v>
      </c>
      <c r="L36" s="22">
        <f>J36-H36</f>
        <v>-4.3999999999999986</v>
      </c>
      <c r="M36" s="22">
        <v>-4.4000000000000004</v>
      </c>
      <c r="N36" s="23">
        <v>-0.25287356321839072</v>
      </c>
      <c r="O36" s="24">
        <v>0.22800000000000001</v>
      </c>
      <c r="P36" s="24">
        <v>0.41</v>
      </c>
      <c r="Q36" s="9" t="s">
        <v>121</v>
      </c>
    </row>
    <row r="37" spans="1:17" x14ac:dyDescent="0.25">
      <c r="A37" s="18">
        <v>33</v>
      </c>
      <c r="B37" s="19" t="s">
        <v>79</v>
      </c>
      <c r="C37" s="20" t="s">
        <v>76</v>
      </c>
      <c r="D37" s="20" t="s">
        <v>117</v>
      </c>
      <c r="E37" s="21">
        <v>947</v>
      </c>
      <c r="F37" s="21">
        <v>16.670000000000002</v>
      </c>
      <c r="G37" s="22">
        <v>263.10000000000002</v>
      </c>
      <c r="H37" s="22">
        <v>33.299999999999997</v>
      </c>
      <c r="I37" s="22">
        <v>33.299999999999997</v>
      </c>
      <c r="J37" s="22">
        <v>27.8</v>
      </c>
      <c r="K37" s="22">
        <f>I37-H37</f>
        <v>0</v>
      </c>
      <c r="L37" s="22">
        <f>J37-H37</f>
        <v>-5.4999999999999964</v>
      </c>
      <c r="M37" s="22">
        <v>-5.5</v>
      </c>
      <c r="N37" s="23">
        <v>-0.16516516516516511</v>
      </c>
      <c r="O37" s="24">
        <v>0.16600000000000001</v>
      </c>
      <c r="P37" s="24">
        <v>0.29899999999999999</v>
      </c>
      <c r="Q37" s="9" t="s">
        <v>121</v>
      </c>
    </row>
    <row r="38" spans="1:17" x14ac:dyDescent="0.25">
      <c r="A38" s="18">
        <v>34</v>
      </c>
      <c r="B38" s="19" t="s">
        <v>49</v>
      </c>
      <c r="C38" s="20" t="s">
        <v>50</v>
      </c>
      <c r="D38" s="20" t="s">
        <v>117</v>
      </c>
      <c r="E38" s="21">
        <v>720</v>
      </c>
      <c r="F38" s="21">
        <v>20</v>
      </c>
      <c r="G38" s="22">
        <v>240</v>
      </c>
      <c r="H38" s="22">
        <v>7.8</v>
      </c>
      <c r="I38" s="22">
        <v>7.8</v>
      </c>
      <c r="J38" s="22">
        <v>7.4</v>
      </c>
      <c r="K38" s="22">
        <f>I38-H38</f>
        <v>0</v>
      </c>
      <c r="L38" s="22">
        <f>J38-H38</f>
        <v>-0.39999999999999947</v>
      </c>
      <c r="M38" s="22">
        <v>-0.4</v>
      </c>
      <c r="N38" s="23">
        <v>-5.1282051282051218E-2</v>
      </c>
      <c r="O38" s="24">
        <v>0.17899999999999999</v>
      </c>
      <c r="P38" s="24">
        <v>0.32300000000000001</v>
      </c>
      <c r="Q38" s="9" t="s">
        <v>121</v>
      </c>
    </row>
    <row r="39" spans="1:17" x14ac:dyDescent="0.25">
      <c r="A39" s="18">
        <v>35</v>
      </c>
      <c r="B39" s="19" t="s">
        <v>46</v>
      </c>
      <c r="C39" s="20" t="s">
        <v>38</v>
      </c>
      <c r="D39" s="20" t="s">
        <v>117</v>
      </c>
      <c r="E39" s="21">
        <v>568</v>
      </c>
      <c r="F39" s="21">
        <v>25</v>
      </c>
      <c r="G39" s="22">
        <v>236.7</v>
      </c>
      <c r="H39" s="22">
        <v>19</v>
      </c>
      <c r="I39" s="22">
        <v>17.3</v>
      </c>
      <c r="J39" s="22">
        <v>12.7</v>
      </c>
      <c r="K39" s="22">
        <f>I39-H39</f>
        <v>-1.6999999999999993</v>
      </c>
      <c r="L39" s="22">
        <f>J39-H39</f>
        <v>-6.3000000000000007</v>
      </c>
      <c r="M39" s="22">
        <v>-4.5999999999999996</v>
      </c>
      <c r="N39" s="23">
        <v>-0.26589595375722552</v>
      </c>
      <c r="O39" s="24">
        <v>0.27</v>
      </c>
      <c r="P39" s="24">
        <v>0.48599999999999999</v>
      </c>
      <c r="Q39" s="9" t="s">
        <v>121</v>
      </c>
    </row>
    <row r="40" spans="1:17" x14ac:dyDescent="0.25">
      <c r="A40" s="18">
        <v>36</v>
      </c>
      <c r="B40" s="19" t="s">
        <v>73</v>
      </c>
      <c r="C40" s="20" t="s">
        <v>65</v>
      </c>
      <c r="D40" s="20" t="s">
        <v>117</v>
      </c>
      <c r="E40" s="21">
        <v>686</v>
      </c>
      <c r="F40" s="21">
        <v>20</v>
      </c>
      <c r="G40" s="22">
        <v>228.7</v>
      </c>
      <c r="H40" s="22">
        <v>20.8</v>
      </c>
      <c r="I40" s="22">
        <v>18.899999999999999</v>
      </c>
      <c r="J40" s="22">
        <v>16.100000000000001</v>
      </c>
      <c r="K40" s="22">
        <f>I40-H40</f>
        <v>-1.9000000000000021</v>
      </c>
      <c r="L40" s="22">
        <f>J40-H40</f>
        <v>-4.6999999999999993</v>
      </c>
      <c r="M40" s="22">
        <v>-2.8</v>
      </c>
      <c r="N40" s="23">
        <v>-0.148148148148148</v>
      </c>
      <c r="O40" s="24">
        <v>0.21</v>
      </c>
      <c r="P40" s="24">
        <v>0.378</v>
      </c>
      <c r="Q40" s="9" t="s">
        <v>121</v>
      </c>
    </row>
    <row r="41" spans="1:17" x14ac:dyDescent="0.25">
      <c r="A41" s="18">
        <v>37</v>
      </c>
      <c r="B41" s="19" t="s">
        <v>93</v>
      </c>
      <c r="C41" s="20" t="s">
        <v>86</v>
      </c>
      <c r="D41" s="20" t="s">
        <v>117</v>
      </c>
      <c r="E41" s="21">
        <v>818</v>
      </c>
      <c r="F41" s="21">
        <v>16.670000000000002</v>
      </c>
      <c r="G41" s="22">
        <v>227.3</v>
      </c>
      <c r="H41" s="22">
        <v>10.9</v>
      </c>
      <c r="I41" s="22">
        <v>20.8</v>
      </c>
      <c r="J41" s="22">
        <v>18.399999999999999</v>
      </c>
      <c r="K41" s="22">
        <f>I41-H41</f>
        <v>9.9</v>
      </c>
      <c r="L41" s="22">
        <f>J41-H41</f>
        <v>7.4999999999999982</v>
      </c>
      <c r="M41" s="22">
        <v>-2.4</v>
      </c>
      <c r="N41" s="23">
        <v>-0.1153846153846155</v>
      </c>
      <c r="O41" s="24">
        <v>0.151</v>
      </c>
      <c r="P41" s="24">
        <v>0.27200000000000002</v>
      </c>
      <c r="Q41" s="9" t="s">
        <v>121</v>
      </c>
    </row>
    <row r="42" spans="1:17" x14ac:dyDescent="0.25">
      <c r="A42" s="18">
        <v>38</v>
      </c>
      <c r="B42" s="19" t="s">
        <v>66</v>
      </c>
      <c r="C42" s="20" t="s">
        <v>65</v>
      </c>
      <c r="D42" s="20" t="s">
        <v>117</v>
      </c>
      <c r="E42" s="21">
        <v>514</v>
      </c>
      <c r="F42" s="21">
        <v>25</v>
      </c>
      <c r="G42" s="22">
        <v>214.2</v>
      </c>
      <c r="H42" s="35"/>
      <c r="I42" s="22">
        <v>10.9</v>
      </c>
      <c r="J42" s="22">
        <v>9.5</v>
      </c>
      <c r="K42" s="22">
        <f>I42-H42</f>
        <v>10.9</v>
      </c>
      <c r="L42" s="22">
        <f>J42-H42</f>
        <v>9.5</v>
      </c>
      <c r="M42" s="22">
        <v>-1.4</v>
      </c>
      <c r="N42" s="23">
        <v>-0.1284403669724771</v>
      </c>
      <c r="O42" s="24">
        <v>0.27</v>
      </c>
      <c r="P42" s="24">
        <v>0.48599999999999999</v>
      </c>
      <c r="Q42" s="9" t="s">
        <v>121</v>
      </c>
    </row>
  </sheetData>
  <autoFilter ref="A4:Q42" xr:uid="{00000000-0001-0000-0300-000000000000}"/>
  <conditionalFormatting sqref="E5:E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4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L4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P4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28FF-86AE-4473-AC35-A8C6EF697053}">
  <dimension ref="A4:C40"/>
  <sheetViews>
    <sheetView topLeftCell="A13" workbookViewId="0">
      <selection activeCell="D42" sqref="D42"/>
    </sheetView>
  </sheetViews>
  <sheetFormatPr defaultRowHeight="15" x14ac:dyDescent="0.25"/>
  <cols>
    <col min="1" max="1" width="16" customWidth="1"/>
    <col min="2" max="2" width="9" customWidth="1"/>
  </cols>
  <sheetData>
    <row r="4" spans="1:3" x14ac:dyDescent="0.25">
      <c r="A4" s="5" t="s">
        <v>30</v>
      </c>
      <c r="B4" s="5" t="s">
        <v>132</v>
      </c>
      <c r="C4" t="s">
        <v>105</v>
      </c>
    </row>
    <row r="5" spans="1:3" x14ac:dyDescent="0.25">
      <c r="A5" s="26" t="s">
        <v>77</v>
      </c>
      <c r="B5" s="29">
        <v>53.8</v>
      </c>
      <c r="C5">
        <f>_xlfn.XLOOKUP(A5,'Full Auto — Recoil Var &amp; SIPS'!$B$4:$B$42,'Full Auto — Recoil Var &amp; SIPS'!$A$4:$A$42,0,0)</f>
        <v>1</v>
      </c>
    </row>
    <row r="6" spans="1:3" x14ac:dyDescent="0.25">
      <c r="A6" s="26" t="s">
        <v>80</v>
      </c>
      <c r="B6" s="29">
        <v>28.6</v>
      </c>
      <c r="C6">
        <f>_xlfn.XLOOKUP(A6,'Full Auto — Recoil Var &amp; SIPS'!$B$4:$B$42,'Full Auto — Recoil Var &amp; SIPS'!$A$4:$A$42,0,0)</f>
        <v>2</v>
      </c>
    </row>
    <row r="7" spans="1:3" x14ac:dyDescent="0.25">
      <c r="A7" s="26" t="s">
        <v>75</v>
      </c>
      <c r="B7" s="29">
        <v>52.6</v>
      </c>
      <c r="C7">
        <f>_xlfn.XLOOKUP(A7,'Full Auto — Recoil Var &amp; SIPS'!$B$4:$B$42,'Full Auto — Recoil Var &amp; SIPS'!$A$4:$A$42,0,0)</f>
        <v>3</v>
      </c>
    </row>
    <row r="8" spans="1:3" x14ac:dyDescent="0.25">
      <c r="A8" s="26" t="s">
        <v>47</v>
      </c>
      <c r="B8" s="29">
        <v>47.1</v>
      </c>
      <c r="C8">
        <f>_xlfn.XLOOKUP(A8,'Full Auto — Recoil Var &amp; SIPS'!$B$4:$B$42,'Full Auto — Recoil Var &amp; SIPS'!$A$4:$A$42,0,0)</f>
        <v>4</v>
      </c>
    </row>
    <row r="9" spans="1:3" x14ac:dyDescent="0.25">
      <c r="A9" s="26" t="s">
        <v>56</v>
      </c>
      <c r="B9" s="29">
        <v>33.799999999999997</v>
      </c>
      <c r="C9">
        <f>_xlfn.XLOOKUP(A9,'Full Auto — Recoil Var &amp; SIPS'!$B$4:$B$42,'Full Auto — Recoil Var &amp; SIPS'!$A$4:$A$42,0,0)</f>
        <v>5</v>
      </c>
    </row>
    <row r="10" spans="1:3" x14ac:dyDescent="0.25">
      <c r="A10" s="26" t="s">
        <v>48</v>
      </c>
      <c r="B10" s="29">
        <v>49.1</v>
      </c>
      <c r="C10">
        <f>_xlfn.XLOOKUP(A10,'Full Auto — Recoil Var &amp; SIPS'!$B$4:$B$42,'Full Auto — Recoil Var &amp; SIPS'!$A$4:$A$42,0,0)</f>
        <v>6</v>
      </c>
    </row>
    <row r="11" spans="1:3" x14ac:dyDescent="0.25">
      <c r="A11" s="26" t="s">
        <v>54</v>
      </c>
      <c r="B11" s="29">
        <v>31.9</v>
      </c>
      <c r="C11">
        <f>_xlfn.XLOOKUP(A11,'Full Auto — Recoil Var &amp; SIPS'!$B$4:$B$42,'Full Auto — Recoil Var &amp; SIPS'!$A$4:$A$42,0,0)</f>
        <v>7</v>
      </c>
    </row>
    <row r="12" spans="1:3" x14ac:dyDescent="0.25">
      <c r="A12" s="19" t="s">
        <v>45</v>
      </c>
      <c r="B12" s="22">
        <v>35.299999999999997</v>
      </c>
      <c r="C12">
        <f>_xlfn.XLOOKUP(A12,'Full Auto — Recoil Var &amp; SIPS'!$B$4:$B$42,'Full Auto — Recoil Var &amp; SIPS'!$A$4:$A$42,0,0)</f>
        <v>8</v>
      </c>
    </row>
    <row r="13" spans="1:3" x14ac:dyDescent="0.25">
      <c r="A13" s="19" t="s">
        <v>53</v>
      </c>
      <c r="B13" s="22">
        <v>19</v>
      </c>
      <c r="C13">
        <f>_xlfn.XLOOKUP(A13,'Full Auto — Recoil Var &amp; SIPS'!$B$4:$B$42,'Full Auto — Recoil Var &amp; SIPS'!$A$4:$A$42,0,0)</f>
        <v>9</v>
      </c>
    </row>
    <row r="14" spans="1:3" x14ac:dyDescent="0.25">
      <c r="A14" s="26" t="s">
        <v>69</v>
      </c>
      <c r="B14" s="29">
        <v>38.6</v>
      </c>
      <c r="C14">
        <f>_xlfn.XLOOKUP(A14,'Full Auto — Recoil Var &amp; SIPS'!$B$4:$B$42,'Full Auto — Recoil Var &amp; SIPS'!$A$4:$A$42,0,0)</f>
        <v>10</v>
      </c>
    </row>
    <row r="15" spans="1:3" x14ac:dyDescent="0.25">
      <c r="A15" s="26" t="s">
        <v>44</v>
      </c>
      <c r="B15" s="29">
        <v>45.1</v>
      </c>
      <c r="C15">
        <f>_xlfn.XLOOKUP(A15,'Full Auto — Recoil Var &amp; SIPS'!$B$4:$B$42,'Full Auto — Recoil Var &amp; SIPS'!$A$4:$A$42,0,0)</f>
        <v>11</v>
      </c>
    </row>
    <row r="16" spans="1:3" x14ac:dyDescent="0.25">
      <c r="A16" s="26" t="s">
        <v>51</v>
      </c>
      <c r="B16" s="29">
        <v>27.9</v>
      </c>
      <c r="C16">
        <f>_xlfn.XLOOKUP(A16,'Full Auto — Recoil Var &amp; SIPS'!$B$4:$B$42,'Full Auto — Recoil Var &amp; SIPS'!$A$4:$A$42,0,0)</f>
        <v>12</v>
      </c>
    </row>
    <row r="17" spans="1:3" x14ac:dyDescent="0.25">
      <c r="A17" s="26" t="s">
        <v>81</v>
      </c>
      <c r="B17" s="29">
        <v>36.700000000000003</v>
      </c>
      <c r="C17">
        <f>_xlfn.XLOOKUP(A17,'Full Auto — Recoil Var &amp; SIPS'!$B$4:$B$42,'Full Auto — Recoil Var &amp; SIPS'!$A$4:$A$42,0,0)</f>
        <v>13</v>
      </c>
    </row>
    <row r="18" spans="1:3" x14ac:dyDescent="0.25">
      <c r="A18" s="26" t="s">
        <v>70</v>
      </c>
      <c r="B18" s="29">
        <v>49</v>
      </c>
      <c r="C18">
        <f>_xlfn.XLOOKUP(A18,'Full Auto — Recoil Var &amp; SIPS'!$B$4:$B$42,'Full Auto — Recoil Var &amp; SIPS'!$A$4:$A$42,0,0)</f>
        <v>14</v>
      </c>
    </row>
    <row r="19" spans="1:3" x14ac:dyDescent="0.25">
      <c r="A19" s="19" t="s">
        <v>57</v>
      </c>
      <c r="B19" s="22">
        <v>19.2</v>
      </c>
      <c r="C19">
        <f>_xlfn.XLOOKUP(A19,'Full Auto — Recoil Var &amp; SIPS'!$B$4:$B$42,'Full Auto — Recoil Var &amp; SIPS'!$A$4:$A$42,0,0)</f>
        <v>15</v>
      </c>
    </row>
    <row r="20" spans="1:3" x14ac:dyDescent="0.25">
      <c r="A20" s="19" t="s">
        <v>71</v>
      </c>
      <c r="B20" s="22">
        <v>40.5</v>
      </c>
      <c r="C20">
        <f>_xlfn.XLOOKUP(A20,'Full Auto — Recoil Var &amp; SIPS'!$B$4:$B$42,'Full Auto — Recoil Var &amp; SIPS'!$A$4:$A$42,0,0)</f>
        <v>16</v>
      </c>
    </row>
    <row r="21" spans="1:3" x14ac:dyDescent="0.25">
      <c r="A21" s="19" t="s">
        <v>55</v>
      </c>
      <c r="B21" s="22">
        <v>22.5</v>
      </c>
      <c r="C21">
        <f>_xlfn.XLOOKUP(A21,'Full Auto — Recoil Var &amp; SIPS'!$B$4:$B$42,'Full Auto — Recoil Var &amp; SIPS'!$A$4:$A$42,0,0)</f>
        <v>18</v>
      </c>
    </row>
    <row r="22" spans="1:3" x14ac:dyDescent="0.25">
      <c r="A22" s="26" t="s">
        <v>78</v>
      </c>
      <c r="B22" s="29">
        <v>31.4</v>
      </c>
      <c r="C22">
        <f>_xlfn.XLOOKUP(A22,'Full Auto — Recoil Var &amp; SIPS'!$B$4:$B$42,'Full Auto — Recoil Var &amp; SIPS'!$A$4:$A$42,0,0)</f>
        <v>19</v>
      </c>
    </row>
    <row r="23" spans="1:3" x14ac:dyDescent="0.25">
      <c r="A23" s="19" t="s">
        <v>64</v>
      </c>
      <c r="B23" s="22">
        <v>33.799999999999997</v>
      </c>
      <c r="C23">
        <f>_xlfn.XLOOKUP(A23,'Full Auto — Recoil Var &amp; SIPS'!$B$4:$B$42,'Full Auto — Recoil Var &amp; SIPS'!$A$4:$A$42,0,0)</f>
        <v>20</v>
      </c>
    </row>
    <row r="24" spans="1:3" x14ac:dyDescent="0.25">
      <c r="A24" s="19" t="s">
        <v>74</v>
      </c>
      <c r="B24" s="22">
        <v>22.7</v>
      </c>
      <c r="C24">
        <f>_xlfn.XLOOKUP(A24,'Full Auto — Recoil Var &amp; SIPS'!$B$4:$B$42,'Full Auto — Recoil Var &amp; SIPS'!$A$4:$A$42,0,0)</f>
        <v>21</v>
      </c>
    </row>
    <row r="25" spans="1:3" x14ac:dyDescent="0.25">
      <c r="A25" s="19" t="s">
        <v>40</v>
      </c>
      <c r="B25" s="22">
        <v>37.4</v>
      </c>
      <c r="C25">
        <f>_xlfn.XLOOKUP(A25,'Full Auto — Recoil Var &amp; SIPS'!$B$4:$B$42,'Full Auto — Recoil Var &amp; SIPS'!$A$4:$A$42,0,0)</f>
        <v>22</v>
      </c>
    </row>
    <row r="26" spans="1:3" x14ac:dyDescent="0.25">
      <c r="A26" s="19" t="s">
        <v>41</v>
      </c>
      <c r="B26" s="22">
        <v>35.9</v>
      </c>
      <c r="C26">
        <f>_xlfn.XLOOKUP(A26,'Full Auto — Recoil Var &amp; SIPS'!$B$4:$B$42,'Full Auto — Recoil Var &amp; SIPS'!$A$4:$A$42,0,0)</f>
        <v>23</v>
      </c>
    </row>
    <row r="27" spans="1:3" x14ac:dyDescent="0.25">
      <c r="A27" s="19" t="s">
        <v>52</v>
      </c>
      <c r="B27" s="22">
        <v>39.4</v>
      </c>
      <c r="C27">
        <f>_xlfn.XLOOKUP(A27,'Full Auto — Recoil Var &amp; SIPS'!$B$4:$B$42,'Full Auto — Recoil Var &amp; SIPS'!$A$4:$A$42,0,0)</f>
        <v>24</v>
      </c>
    </row>
    <row r="28" spans="1:3" x14ac:dyDescent="0.25">
      <c r="A28" s="19" t="s">
        <v>84</v>
      </c>
      <c r="B28" s="22">
        <v>42.8</v>
      </c>
      <c r="C28">
        <f>_xlfn.XLOOKUP(A28,'Full Auto — Recoil Var &amp; SIPS'!$B$4:$B$42,'Full Auto — Recoil Var &amp; SIPS'!$A$4:$A$42,0,0)</f>
        <v>25</v>
      </c>
    </row>
    <row r="29" spans="1:3" x14ac:dyDescent="0.25">
      <c r="A29" s="19" t="s">
        <v>67</v>
      </c>
      <c r="B29" s="22">
        <v>39.4</v>
      </c>
      <c r="C29">
        <f>_xlfn.XLOOKUP(A29,'Full Auto — Recoil Var &amp; SIPS'!$B$4:$B$42,'Full Auto — Recoil Var &amp; SIPS'!$A$4:$A$42,0,0)</f>
        <v>26</v>
      </c>
    </row>
    <row r="30" spans="1:3" x14ac:dyDescent="0.25">
      <c r="A30" s="19" t="s">
        <v>37</v>
      </c>
      <c r="B30" s="22">
        <v>25.4</v>
      </c>
      <c r="C30">
        <f>_xlfn.XLOOKUP(A30,'Full Auto — Recoil Var &amp; SIPS'!$B$4:$B$42,'Full Auto — Recoil Var &amp; SIPS'!$A$4:$A$42,0,0)</f>
        <v>27</v>
      </c>
    </row>
    <row r="31" spans="1:3" x14ac:dyDescent="0.25">
      <c r="A31" s="19" t="s">
        <v>68</v>
      </c>
      <c r="B31" s="22">
        <v>38.799999999999997</v>
      </c>
      <c r="C31">
        <f>_xlfn.XLOOKUP(A31,'Full Auto — Recoil Var &amp; SIPS'!$B$4:$B$42,'Full Auto — Recoil Var &amp; SIPS'!$A$4:$A$42,0,0)</f>
        <v>28</v>
      </c>
    </row>
    <row r="32" spans="1:3" x14ac:dyDescent="0.25">
      <c r="A32" s="19" t="s">
        <v>82</v>
      </c>
      <c r="B32" s="22">
        <v>16.2</v>
      </c>
      <c r="C32">
        <f>_xlfn.XLOOKUP(A32,'Full Auto — Recoil Var &amp; SIPS'!$B$4:$B$42,'Full Auto — Recoil Var &amp; SIPS'!$A$4:$A$42,0,0)</f>
        <v>29</v>
      </c>
    </row>
    <row r="33" spans="1:3" x14ac:dyDescent="0.25">
      <c r="A33" s="19" t="s">
        <v>72</v>
      </c>
      <c r="B33" s="22">
        <v>35.200000000000003</v>
      </c>
      <c r="C33">
        <f>_xlfn.XLOOKUP(A33,'Full Auto — Recoil Var &amp; SIPS'!$B$4:$B$42,'Full Auto — Recoil Var &amp; SIPS'!$A$4:$A$42,0,0)</f>
        <v>30</v>
      </c>
    </row>
    <row r="34" spans="1:3" x14ac:dyDescent="0.25">
      <c r="A34" s="19" t="s">
        <v>42</v>
      </c>
      <c r="B34" s="22">
        <v>29.4</v>
      </c>
      <c r="C34">
        <f>_xlfn.XLOOKUP(A34,'Full Auto — Recoil Var &amp; SIPS'!$B$4:$B$42,'Full Auto — Recoil Var &amp; SIPS'!$A$4:$A$42,0,0)</f>
        <v>31</v>
      </c>
    </row>
    <row r="35" spans="1:3" x14ac:dyDescent="0.25">
      <c r="A35" s="19" t="s">
        <v>83</v>
      </c>
      <c r="B35" s="22">
        <v>17.399999999999999</v>
      </c>
      <c r="C35">
        <f>_xlfn.XLOOKUP(A35,'Full Auto — Recoil Var &amp; SIPS'!$B$4:$B$42,'Full Auto — Recoil Var &amp; SIPS'!$A$4:$A$42,0,0)</f>
        <v>32</v>
      </c>
    </row>
    <row r="36" spans="1:3" x14ac:dyDescent="0.25">
      <c r="A36" s="19" t="s">
        <v>79</v>
      </c>
      <c r="B36" s="22">
        <v>33.299999999999997</v>
      </c>
      <c r="C36">
        <f>_xlfn.XLOOKUP(A36,'Full Auto — Recoil Var &amp; SIPS'!$B$4:$B$42,'Full Auto — Recoil Var &amp; SIPS'!$A$4:$A$42,0,0)</f>
        <v>33</v>
      </c>
    </row>
    <row r="37" spans="1:3" x14ac:dyDescent="0.25">
      <c r="A37" s="19" t="s">
        <v>49</v>
      </c>
      <c r="B37" s="22">
        <v>7.8</v>
      </c>
      <c r="C37">
        <f>_xlfn.XLOOKUP(A37,'Full Auto — Recoil Var &amp; SIPS'!$B$4:$B$42,'Full Auto — Recoil Var &amp; SIPS'!$A$4:$A$42,0,0)</f>
        <v>34</v>
      </c>
    </row>
    <row r="38" spans="1:3" x14ac:dyDescent="0.25">
      <c r="A38" s="19" t="s">
        <v>46</v>
      </c>
      <c r="B38" s="22">
        <v>19</v>
      </c>
      <c r="C38">
        <f>_xlfn.XLOOKUP(A38,'Full Auto — Recoil Var &amp; SIPS'!$B$4:$B$42,'Full Auto — Recoil Var &amp; SIPS'!$A$4:$A$42,0,0)</f>
        <v>35</v>
      </c>
    </row>
    <row r="39" spans="1:3" x14ac:dyDescent="0.25">
      <c r="A39" s="19" t="s">
        <v>93</v>
      </c>
      <c r="B39" s="22">
        <v>20.8</v>
      </c>
      <c r="C39">
        <f>_xlfn.XLOOKUP(A39,'Full Auto — Recoil Var &amp; SIPS'!$B$4:$B$42,'Full Auto — Recoil Var &amp; SIPS'!$A$4:$A$42,0,0)</f>
        <v>37</v>
      </c>
    </row>
    <row r="40" spans="1:3" x14ac:dyDescent="0.25">
      <c r="A40" s="19" t="s">
        <v>66</v>
      </c>
      <c r="B40" s="22">
        <v>10.9</v>
      </c>
      <c r="C40">
        <f>_xlfn.XLOOKUP(A40,'Full Auto — Recoil Var &amp; SIPS'!$B$4:$B$42,'Full Auto — Recoil Var &amp; SIPS'!$A$4:$A$42,0,0)</f>
        <v>38</v>
      </c>
    </row>
  </sheetData>
  <autoFilter ref="A4:C40" xr:uid="{556428FF-86AE-4473-AC35-A8C6EF697053}">
    <sortState xmlns:xlrd2="http://schemas.microsoft.com/office/spreadsheetml/2017/richdata2" ref="A5:C40">
      <sortCondition ref="C4:C40"/>
    </sortState>
  </autoFilter>
  <conditionalFormatting sqref="B5:B4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showGridLines="0" workbookViewId="0">
      <pane ySplit="4" topLeftCell="A5" activePane="bottomLeft" state="frozen"/>
      <selection pane="bottomLeft" activeCell="G3" sqref="G1:G1048576"/>
    </sheetView>
  </sheetViews>
  <sheetFormatPr defaultRowHeight="15" x14ac:dyDescent="0.25"/>
  <cols>
    <col min="1" max="2" width="16" customWidth="1"/>
    <col min="3" max="4" width="11" customWidth="1"/>
    <col min="5" max="5" width="10" customWidth="1"/>
    <col min="6" max="10" width="9" customWidth="1"/>
    <col min="11" max="11" width="26" customWidth="1"/>
  </cols>
  <sheetData>
    <row r="1" spans="1:11" ht="18" x14ac:dyDescent="0.25">
      <c r="A1" s="34" t="s">
        <v>126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2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1" x14ac:dyDescent="0.25">
      <c r="A4" s="5" t="s">
        <v>30</v>
      </c>
      <c r="B4" s="5" t="s">
        <v>31</v>
      </c>
      <c r="C4" s="5" t="s">
        <v>128</v>
      </c>
      <c r="D4" s="5" t="s">
        <v>129</v>
      </c>
      <c r="E4" s="5" t="s">
        <v>130</v>
      </c>
      <c r="F4" s="5" t="s">
        <v>131</v>
      </c>
      <c r="G4" s="5" t="s">
        <v>132</v>
      </c>
      <c r="H4" s="5" t="s">
        <v>133</v>
      </c>
      <c r="I4" s="5" t="s">
        <v>134</v>
      </c>
      <c r="J4" s="5" t="s">
        <v>135</v>
      </c>
      <c r="K4" s="5" t="s">
        <v>136</v>
      </c>
    </row>
    <row r="5" spans="1:11" x14ac:dyDescent="0.25">
      <c r="A5" s="26" t="s">
        <v>48</v>
      </c>
      <c r="B5" s="26" t="s">
        <v>38</v>
      </c>
      <c r="C5" s="27">
        <v>0.69220000000000004</v>
      </c>
      <c r="D5" s="27">
        <v>0.69199999999999995</v>
      </c>
      <c r="E5" s="27">
        <v>-2.0000000000000001E-4</v>
      </c>
      <c r="F5" s="28">
        <v>-2.8893383415210769E-4</v>
      </c>
      <c r="G5" s="29">
        <v>49.1</v>
      </c>
      <c r="H5" s="29">
        <v>64.900000000000006</v>
      </c>
      <c r="I5" s="29">
        <v>15.8</v>
      </c>
      <c r="J5" s="28">
        <v>0.32179226069246442</v>
      </c>
      <c r="K5" s="25" t="s">
        <v>39</v>
      </c>
    </row>
    <row r="6" spans="1:11" x14ac:dyDescent="0.25">
      <c r="A6" s="26" t="s">
        <v>56</v>
      </c>
      <c r="B6" s="26" t="s">
        <v>50</v>
      </c>
      <c r="C6" s="27">
        <v>0.66710000000000003</v>
      </c>
      <c r="D6" s="27">
        <v>0.68230000000000002</v>
      </c>
      <c r="E6" s="27">
        <v>1.52E-2</v>
      </c>
      <c r="F6" s="28">
        <v>2.27851896267426E-2</v>
      </c>
      <c r="G6" s="29">
        <v>33.799999999999997</v>
      </c>
      <c r="H6" s="29">
        <v>43.3</v>
      </c>
      <c r="I6" s="29">
        <v>9.5</v>
      </c>
      <c r="J6" s="28">
        <v>0.2810650887573965</v>
      </c>
      <c r="K6" s="25" t="s">
        <v>39</v>
      </c>
    </row>
    <row r="7" spans="1:11" x14ac:dyDescent="0.25">
      <c r="A7" s="26" t="s">
        <v>70</v>
      </c>
      <c r="B7" s="26" t="s">
        <v>65</v>
      </c>
      <c r="C7" s="27">
        <v>0.5071</v>
      </c>
      <c r="D7" s="27">
        <v>0.51890000000000003</v>
      </c>
      <c r="E7" s="27">
        <v>1.18E-2</v>
      </c>
      <c r="F7" s="28">
        <v>2.3269572076513569E-2</v>
      </c>
      <c r="G7" s="29">
        <v>49</v>
      </c>
      <c r="H7" s="29">
        <v>55.9</v>
      </c>
      <c r="I7" s="29">
        <v>6.9</v>
      </c>
      <c r="J7" s="28">
        <v>0.14081632653061221</v>
      </c>
      <c r="K7" s="25" t="s">
        <v>39</v>
      </c>
    </row>
    <row r="8" spans="1:11" x14ac:dyDescent="0.25">
      <c r="A8" s="26" t="s">
        <v>75</v>
      </c>
      <c r="B8" s="26" t="s">
        <v>76</v>
      </c>
      <c r="C8" s="27">
        <v>0.55020000000000002</v>
      </c>
      <c r="D8" s="27">
        <v>0.5877</v>
      </c>
      <c r="E8" s="27">
        <v>3.7499999999999999E-2</v>
      </c>
      <c r="F8" s="28">
        <v>6.8157033805888723E-2</v>
      </c>
      <c r="G8" s="29">
        <v>52.6</v>
      </c>
      <c r="H8" s="29">
        <v>59.1</v>
      </c>
      <c r="I8" s="29">
        <v>6.5</v>
      </c>
      <c r="J8" s="28">
        <v>0.123574144486692</v>
      </c>
      <c r="K8" s="25" t="s">
        <v>39</v>
      </c>
    </row>
    <row r="9" spans="1:11" x14ac:dyDescent="0.25">
      <c r="A9" s="26" t="s">
        <v>80</v>
      </c>
      <c r="B9" s="26" t="s">
        <v>76</v>
      </c>
      <c r="C9" s="27">
        <v>0.62170000000000003</v>
      </c>
      <c r="D9" s="27">
        <v>0.63370000000000004</v>
      </c>
      <c r="E9" s="27">
        <v>1.2E-2</v>
      </c>
      <c r="F9" s="28">
        <v>1.930191410648224E-2</v>
      </c>
      <c r="G9" s="29">
        <v>28.6</v>
      </c>
      <c r="H9" s="29">
        <v>35</v>
      </c>
      <c r="I9" s="29">
        <v>6.4</v>
      </c>
      <c r="J9" s="28">
        <v>0.22377622377622369</v>
      </c>
      <c r="K9" s="25" t="s">
        <v>39</v>
      </c>
    </row>
    <row r="10" spans="1:11" x14ac:dyDescent="0.25">
      <c r="A10" s="26" t="s">
        <v>54</v>
      </c>
      <c r="B10" s="26" t="s">
        <v>50</v>
      </c>
      <c r="C10" s="27">
        <v>0.71309999999999996</v>
      </c>
      <c r="D10" s="27">
        <v>0.71879999999999999</v>
      </c>
      <c r="E10" s="27">
        <v>5.7000000000000002E-3</v>
      </c>
      <c r="F10" s="28">
        <v>7.9932688262516326E-3</v>
      </c>
      <c r="G10" s="29">
        <v>31.9</v>
      </c>
      <c r="H10" s="29">
        <v>37.9</v>
      </c>
      <c r="I10" s="29">
        <v>6</v>
      </c>
      <c r="J10" s="28">
        <v>0.18808777429467091</v>
      </c>
      <c r="K10" s="25" t="s">
        <v>39</v>
      </c>
    </row>
    <row r="11" spans="1:11" x14ac:dyDescent="0.25">
      <c r="A11" s="26" t="s">
        <v>44</v>
      </c>
      <c r="B11" s="26" t="s">
        <v>38</v>
      </c>
      <c r="C11" s="27">
        <v>0.64129999999999998</v>
      </c>
      <c r="D11" s="27">
        <v>0.6583</v>
      </c>
      <c r="E11" s="27">
        <v>1.7000000000000001E-2</v>
      </c>
      <c r="F11" s="28">
        <v>2.6508654295961349E-2</v>
      </c>
      <c r="G11" s="29">
        <v>45.1</v>
      </c>
      <c r="H11" s="29">
        <v>50.9</v>
      </c>
      <c r="I11" s="29">
        <v>5.8</v>
      </c>
      <c r="J11" s="28">
        <v>0.12860310421286031</v>
      </c>
      <c r="K11" s="25" t="s">
        <v>39</v>
      </c>
    </row>
    <row r="12" spans="1:11" x14ac:dyDescent="0.25">
      <c r="A12" s="19" t="s">
        <v>72</v>
      </c>
      <c r="B12" s="19" t="s">
        <v>65</v>
      </c>
      <c r="C12" s="30">
        <v>0.63</v>
      </c>
      <c r="D12" s="30">
        <v>0.61360000000000003</v>
      </c>
      <c r="E12" s="30">
        <v>-1.6400000000000001E-2</v>
      </c>
      <c r="F12" s="23">
        <v>-2.6031746031745989E-2</v>
      </c>
      <c r="G12" s="22">
        <v>35.200000000000003</v>
      </c>
      <c r="H12" s="22">
        <v>39.700000000000003</v>
      </c>
      <c r="I12" s="22">
        <v>4.5</v>
      </c>
      <c r="J12" s="23">
        <v>0.12784090909090909</v>
      </c>
      <c r="K12" s="20"/>
    </row>
    <row r="13" spans="1:11" x14ac:dyDescent="0.25">
      <c r="A13" s="26" t="s">
        <v>77</v>
      </c>
      <c r="B13" s="26" t="s">
        <v>76</v>
      </c>
      <c r="C13" s="27">
        <v>0.42620000000000002</v>
      </c>
      <c r="D13" s="27">
        <v>0.46129999999999999</v>
      </c>
      <c r="E13" s="27">
        <v>3.5099999999999999E-2</v>
      </c>
      <c r="F13" s="28">
        <v>8.2355701548568666E-2</v>
      </c>
      <c r="G13" s="29">
        <v>53.8</v>
      </c>
      <c r="H13" s="29">
        <v>57.6</v>
      </c>
      <c r="I13" s="29">
        <v>3.8</v>
      </c>
      <c r="J13" s="28">
        <v>7.0631970260223137E-2</v>
      </c>
      <c r="K13" s="25" t="s">
        <v>39</v>
      </c>
    </row>
    <row r="14" spans="1:11" x14ac:dyDescent="0.25">
      <c r="A14" s="26" t="s">
        <v>51</v>
      </c>
      <c r="B14" s="26" t="s">
        <v>50</v>
      </c>
      <c r="C14" s="27">
        <v>0.67269999999999996</v>
      </c>
      <c r="D14" s="27">
        <v>0.6784</v>
      </c>
      <c r="E14" s="27">
        <v>5.7000000000000002E-3</v>
      </c>
      <c r="F14" s="28">
        <v>8.4733164858035361E-3</v>
      </c>
      <c r="G14" s="29">
        <v>27.9</v>
      </c>
      <c r="H14" s="29">
        <v>31.2</v>
      </c>
      <c r="I14" s="29">
        <v>3.3</v>
      </c>
      <c r="J14" s="28">
        <v>0.11827956989247319</v>
      </c>
      <c r="K14" s="25" t="s">
        <v>39</v>
      </c>
    </row>
    <row r="15" spans="1:11" x14ac:dyDescent="0.25">
      <c r="A15" s="26" t="s">
        <v>81</v>
      </c>
      <c r="B15" s="26" t="s">
        <v>76</v>
      </c>
      <c r="C15" s="27">
        <v>0.47210000000000002</v>
      </c>
      <c r="D15" s="27">
        <v>0.49890000000000001</v>
      </c>
      <c r="E15" s="27">
        <v>2.6800000000000001E-2</v>
      </c>
      <c r="F15" s="28">
        <v>5.6767633975852549E-2</v>
      </c>
      <c r="G15" s="29">
        <v>36.700000000000003</v>
      </c>
      <c r="H15" s="29">
        <v>39.799999999999997</v>
      </c>
      <c r="I15" s="29">
        <v>3.1</v>
      </c>
      <c r="J15" s="28">
        <v>8.4468664850136072E-2</v>
      </c>
      <c r="K15" s="25" t="s">
        <v>39</v>
      </c>
    </row>
    <row r="16" spans="1:11" x14ac:dyDescent="0.25">
      <c r="A16" s="26" t="s">
        <v>78</v>
      </c>
      <c r="B16" s="26" t="s">
        <v>76</v>
      </c>
      <c r="C16" s="27">
        <v>0.45029999999999998</v>
      </c>
      <c r="D16" s="27">
        <v>0.46729999999999999</v>
      </c>
      <c r="E16" s="27">
        <v>1.7000000000000001E-2</v>
      </c>
      <c r="F16" s="28">
        <v>3.7752609371530133E-2</v>
      </c>
      <c r="G16" s="29">
        <v>31.4</v>
      </c>
      <c r="H16" s="29">
        <v>33.200000000000003</v>
      </c>
      <c r="I16" s="29">
        <v>1.8</v>
      </c>
      <c r="J16" s="28">
        <v>5.732484076433135E-2</v>
      </c>
      <c r="K16" s="25" t="s">
        <v>39</v>
      </c>
    </row>
    <row r="17" spans="1:11" x14ac:dyDescent="0.25">
      <c r="A17" s="19" t="s">
        <v>46</v>
      </c>
      <c r="B17" s="19" t="s">
        <v>38</v>
      </c>
      <c r="C17" s="30">
        <v>0.51080000000000003</v>
      </c>
      <c r="D17" s="30">
        <v>0.50019999999999998</v>
      </c>
      <c r="E17" s="30">
        <v>-1.06E-2</v>
      </c>
      <c r="F17" s="23">
        <v>-2.0751761942051791E-2</v>
      </c>
      <c r="G17" s="22">
        <v>19</v>
      </c>
      <c r="H17" s="22">
        <v>17.3</v>
      </c>
      <c r="I17" s="22">
        <v>-1.7</v>
      </c>
      <c r="J17" s="23">
        <v>-8.9473684210526275E-2</v>
      </c>
      <c r="K17" s="20"/>
    </row>
    <row r="18" spans="1:11" x14ac:dyDescent="0.25">
      <c r="A18" s="19" t="s">
        <v>45</v>
      </c>
      <c r="B18" s="19" t="s">
        <v>38</v>
      </c>
      <c r="C18" s="30">
        <v>0.61760000000000004</v>
      </c>
      <c r="D18" s="30">
        <v>0.62339999999999995</v>
      </c>
      <c r="E18" s="30">
        <v>5.7999999999999996E-3</v>
      </c>
      <c r="F18" s="23">
        <v>9.3911917098444229E-3</v>
      </c>
      <c r="G18" s="22">
        <v>35.299999999999997</v>
      </c>
      <c r="H18" s="22">
        <v>36.799999999999997</v>
      </c>
      <c r="I18" s="22">
        <v>1.5</v>
      </c>
      <c r="J18" s="23">
        <v>4.2492917847025503E-2</v>
      </c>
      <c r="K18" s="20"/>
    </row>
    <row r="19" spans="1:11" x14ac:dyDescent="0.25">
      <c r="A19" s="19" t="s">
        <v>64</v>
      </c>
      <c r="B19" s="19" t="s">
        <v>65</v>
      </c>
      <c r="C19" s="30">
        <v>0.57879999999999998</v>
      </c>
      <c r="D19" s="30">
        <v>0.58489999999999998</v>
      </c>
      <c r="E19" s="30">
        <v>6.1000000000000004E-3</v>
      </c>
      <c r="F19" s="23">
        <v>1.0539046302695219E-2</v>
      </c>
      <c r="G19" s="22">
        <v>33.799999999999997</v>
      </c>
      <c r="H19" s="22">
        <v>35.200000000000003</v>
      </c>
      <c r="I19" s="22">
        <v>1.4</v>
      </c>
      <c r="J19" s="23">
        <v>4.1420118343195443E-2</v>
      </c>
      <c r="K19" s="20"/>
    </row>
    <row r="20" spans="1:11" x14ac:dyDescent="0.25">
      <c r="A20" s="19" t="s">
        <v>71</v>
      </c>
      <c r="B20" s="19" t="s">
        <v>65</v>
      </c>
      <c r="C20" s="30">
        <v>0.65559999999999996</v>
      </c>
      <c r="D20" s="30">
        <v>0.67779999999999996</v>
      </c>
      <c r="E20" s="30">
        <v>2.2200000000000001E-2</v>
      </c>
      <c r="F20" s="23">
        <v>3.3862111043319099E-2</v>
      </c>
      <c r="G20" s="22">
        <v>40.5</v>
      </c>
      <c r="H20" s="22">
        <v>41.8</v>
      </c>
      <c r="I20" s="22">
        <v>1.3</v>
      </c>
      <c r="J20" s="23">
        <v>3.2098765432098698E-2</v>
      </c>
      <c r="K20" s="20"/>
    </row>
    <row r="21" spans="1:11" x14ac:dyDescent="0.25">
      <c r="A21" s="19" t="s">
        <v>55</v>
      </c>
      <c r="B21" s="19" t="s">
        <v>50</v>
      </c>
      <c r="C21" s="30">
        <v>0.63800000000000001</v>
      </c>
      <c r="D21" s="30">
        <v>0.64510000000000001</v>
      </c>
      <c r="E21" s="30">
        <v>7.1000000000000004E-3</v>
      </c>
      <c r="F21" s="23">
        <v>1.112852664576802E-2</v>
      </c>
      <c r="G21" s="22">
        <v>22.5</v>
      </c>
      <c r="H21" s="22">
        <v>23.5</v>
      </c>
      <c r="I21" s="22">
        <v>1</v>
      </c>
      <c r="J21" s="23">
        <v>4.4444444444444453E-2</v>
      </c>
      <c r="K21" s="20"/>
    </row>
    <row r="22" spans="1:11" x14ac:dyDescent="0.25">
      <c r="A22" s="26" t="s">
        <v>69</v>
      </c>
      <c r="B22" s="26" t="s">
        <v>65</v>
      </c>
      <c r="C22" s="27">
        <v>0.63980000000000004</v>
      </c>
      <c r="D22" s="27">
        <v>0.6794</v>
      </c>
      <c r="E22" s="27">
        <v>3.9600000000000003E-2</v>
      </c>
      <c r="F22" s="28">
        <v>6.1894341981869279E-2</v>
      </c>
      <c r="G22" s="29">
        <v>38.6</v>
      </c>
      <c r="H22" s="29">
        <v>39.5</v>
      </c>
      <c r="I22" s="29">
        <v>0.9</v>
      </c>
      <c r="J22" s="28">
        <v>2.3316062176165761E-2</v>
      </c>
      <c r="K22" s="25" t="s">
        <v>39</v>
      </c>
    </row>
    <row r="23" spans="1:11" x14ac:dyDescent="0.25">
      <c r="A23" s="19" t="s">
        <v>53</v>
      </c>
      <c r="B23" s="19" t="s">
        <v>50</v>
      </c>
      <c r="C23" s="30">
        <v>0.78180000000000005</v>
      </c>
      <c r="D23" s="30">
        <v>0.78839999999999999</v>
      </c>
      <c r="E23" s="30">
        <v>6.6E-3</v>
      </c>
      <c r="F23" s="23">
        <v>8.4420567920183414E-3</v>
      </c>
      <c r="G23" s="22">
        <v>19</v>
      </c>
      <c r="H23" s="22">
        <v>19.8</v>
      </c>
      <c r="I23" s="22">
        <v>0.8</v>
      </c>
      <c r="J23" s="23">
        <v>4.2105263157894778E-2</v>
      </c>
      <c r="K23" s="20"/>
    </row>
    <row r="24" spans="1:11" x14ac:dyDescent="0.25">
      <c r="A24" s="19" t="s">
        <v>41</v>
      </c>
      <c r="B24" s="19" t="s">
        <v>38</v>
      </c>
      <c r="C24" s="30">
        <v>0.44140000000000001</v>
      </c>
      <c r="D24" s="30">
        <v>0.45879999999999999</v>
      </c>
      <c r="E24" s="30">
        <v>1.7399999999999999E-2</v>
      </c>
      <c r="F24" s="23">
        <v>3.942002718622558E-2</v>
      </c>
      <c r="G24" s="22">
        <v>35.9</v>
      </c>
      <c r="H24" s="22">
        <v>35.299999999999997</v>
      </c>
      <c r="I24" s="22">
        <v>-0.6</v>
      </c>
      <c r="J24" s="23">
        <v>-1.671309192200561E-2</v>
      </c>
      <c r="K24" s="20"/>
    </row>
    <row r="25" spans="1:11" x14ac:dyDescent="0.25">
      <c r="A25" s="19" t="s">
        <v>40</v>
      </c>
      <c r="B25" s="19" t="s">
        <v>38</v>
      </c>
      <c r="C25" s="30">
        <v>0.58030000000000004</v>
      </c>
      <c r="D25" s="30">
        <v>0.58030000000000004</v>
      </c>
      <c r="E25" s="30">
        <v>0</v>
      </c>
      <c r="F25" s="23">
        <v>0</v>
      </c>
      <c r="G25" s="22">
        <v>37.4</v>
      </c>
      <c r="H25" s="22">
        <v>37.4</v>
      </c>
      <c r="I25" s="22">
        <v>0</v>
      </c>
      <c r="J25" s="23">
        <v>0</v>
      </c>
      <c r="K25" s="20"/>
    </row>
    <row r="26" spans="1:11" x14ac:dyDescent="0.25">
      <c r="A26" s="19" t="s">
        <v>37</v>
      </c>
      <c r="B26" s="19" t="s">
        <v>38</v>
      </c>
      <c r="C26" s="30">
        <v>0.69910000000000005</v>
      </c>
      <c r="D26" s="30">
        <v>0.69910000000000005</v>
      </c>
      <c r="E26" s="30">
        <v>0</v>
      </c>
      <c r="F26" s="23">
        <v>0</v>
      </c>
      <c r="G26" s="22">
        <v>25.4</v>
      </c>
      <c r="H26" s="22">
        <v>25.4</v>
      </c>
      <c r="I26" s="22">
        <v>0</v>
      </c>
      <c r="J26" s="23">
        <v>0</v>
      </c>
      <c r="K26" s="20"/>
    </row>
    <row r="27" spans="1:11" x14ac:dyDescent="0.25">
      <c r="A27" s="26" t="s">
        <v>47</v>
      </c>
      <c r="B27" s="26" t="s">
        <v>38</v>
      </c>
      <c r="C27" s="27">
        <v>0.92130000000000001</v>
      </c>
      <c r="D27" s="27">
        <v>0.99629999999999996</v>
      </c>
      <c r="E27" s="27">
        <v>7.4999999999999997E-2</v>
      </c>
      <c r="F27" s="28">
        <v>8.1406707912731954E-2</v>
      </c>
      <c r="G27" s="29">
        <v>47.1</v>
      </c>
      <c r="H27" s="29">
        <v>47.1</v>
      </c>
      <c r="I27" s="29">
        <v>0</v>
      </c>
      <c r="J27" s="28">
        <v>0</v>
      </c>
      <c r="K27" s="25" t="s">
        <v>39</v>
      </c>
    </row>
    <row r="28" spans="1:11" x14ac:dyDescent="0.25">
      <c r="A28" s="19" t="s">
        <v>42</v>
      </c>
      <c r="B28" s="19" t="s">
        <v>38</v>
      </c>
      <c r="C28" s="30">
        <v>0.54890000000000005</v>
      </c>
      <c r="D28" s="30">
        <v>0.54890000000000005</v>
      </c>
      <c r="E28" s="30">
        <v>0</v>
      </c>
      <c r="F28" s="23">
        <v>0</v>
      </c>
      <c r="G28" s="22">
        <v>29.4</v>
      </c>
      <c r="H28" s="22">
        <v>29.4</v>
      </c>
      <c r="I28" s="22">
        <v>0</v>
      </c>
      <c r="J28" s="23">
        <v>0</v>
      </c>
      <c r="K28" s="20"/>
    </row>
    <row r="29" spans="1:11" x14ac:dyDescent="0.25">
      <c r="A29" s="19" t="s">
        <v>52</v>
      </c>
      <c r="B29" s="19" t="s">
        <v>50</v>
      </c>
      <c r="C29" s="30">
        <v>0.80969999999999998</v>
      </c>
      <c r="D29" s="30">
        <v>0.80969999999999998</v>
      </c>
      <c r="E29" s="30">
        <v>0</v>
      </c>
      <c r="F29" s="23">
        <v>0</v>
      </c>
      <c r="G29" s="22">
        <v>39.4</v>
      </c>
      <c r="H29" s="22">
        <v>39.4</v>
      </c>
      <c r="I29" s="22">
        <v>0</v>
      </c>
      <c r="J29" s="23">
        <v>0</v>
      </c>
      <c r="K29" s="20"/>
    </row>
    <row r="30" spans="1:11" x14ac:dyDescent="0.25">
      <c r="A30" s="19" t="s">
        <v>49</v>
      </c>
      <c r="B30" s="19" t="s">
        <v>50</v>
      </c>
      <c r="C30" s="30">
        <v>0.41039999999999999</v>
      </c>
      <c r="D30" s="30">
        <v>0.41039999999999999</v>
      </c>
      <c r="E30" s="30">
        <v>0</v>
      </c>
      <c r="F30" s="23">
        <v>0</v>
      </c>
      <c r="G30" s="22">
        <v>7.8</v>
      </c>
      <c r="H30" s="22">
        <v>7.8</v>
      </c>
      <c r="I30" s="22">
        <v>0</v>
      </c>
      <c r="J30" s="23">
        <v>0</v>
      </c>
      <c r="K30" s="20"/>
    </row>
    <row r="31" spans="1:11" x14ac:dyDescent="0.25">
      <c r="A31" s="19" t="s">
        <v>57</v>
      </c>
      <c r="B31" s="19" t="s">
        <v>50</v>
      </c>
      <c r="C31" s="30">
        <v>0.59889999999999999</v>
      </c>
      <c r="D31" s="30">
        <v>0.61970000000000003</v>
      </c>
      <c r="E31" s="30">
        <v>2.0799999999999999E-2</v>
      </c>
      <c r="F31" s="23">
        <v>3.4730338954750438E-2</v>
      </c>
      <c r="G31" s="22">
        <v>19.2</v>
      </c>
      <c r="H31" s="22">
        <v>19.2</v>
      </c>
      <c r="I31" s="22">
        <v>0</v>
      </c>
      <c r="J31" s="23">
        <v>0</v>
      </c>
      <c r="K31" s="20"/>
    </row>
    <row r="32" spans="1:11" x14ac:dyDescent="0.25">
      <c r="A32" s="19" t="s">
        <v>79</v>
      </c>
      <c r="B32" s="19" t="s">
        <v>76</v>
      </c>
      <c r="C32" s="30">
        <v>0.4289</v>
      </c>
      <c r="D32" s="30">
        <v>0.4289</v>
      </c>
      <c r="E32" s="30">
        <v>0</v>
      </c>
      <c r="F32" s="23">
        <v>0</v>
      </c>
      <c r="G32" s="22">
        <v>33.299999999999997</v>
      </c>
      <c r="H32" s="22">
        <v>33.299999999999997</v>
      </c>
      <c r="I32" s="22">
        <v>0</v>
      </c>
      <c r="J32" s="23">
        <v>0</v>
      </c>
      <c r="K32" s="20"/>
    </row>
    <row r="33" spans="1:11" x14ac:dyDescent="0.25">
      <c r="A33" s="19" t="s">
        <v>83</v>
      </c>
      <c r="B33" s="19" t="s">
        <v>76</v>
      </c>
      <c r="C33" s="30">
        <v>0.48909999999999998</v>
      </c>
      <c r="D33" s="30">
        <v>0.48909999999999998</v>
      </c>
      <c r="E33" s="30">
        <v>0</v>
      </c>
      <c r="F33" s="23">
        <v>0</v>
      </c>
      <c r="G33" s="22">
        <v>17.399999999999999</v>
      </c>
      <c r="H33" s="22">
        <v>17.399999999999999</v>
      </c>
      <c r="I33" s="22">
        <v>0</v>
      </c>
      <c r="J33" s="23">
        <v>0</v>
      </c>
      <c r="K33" s="20"/>
    </row>
    <row r="34" spans="1:11" x14ac:dyDescent="0.25">
      <c r="A34" s="19" t="s">
        <v>84</v>
      </c>
      <c r="B34" s="19" t="s">
        <v>76</v>
      </c>
      <c r="C34" s="30">
        <v>0.45660000000000001</v>
      </c>
      <c r="D34" s="30">
        <v>0.45660000000000001</v>
      </c>
      <c r="E34" s="30">
        <v>0</v>
      </c>
      <c r="F34" s="23">
        <v>0</v>
      </c>
      <c r="G34" s="22">
        <v>42.8</v>
      </c>
      <c r="H34" s="22">
        <v>42.8</v>
      </c>
      <c r="I34" s="22">
        <v>0</v>
      </c>
      <c r="J34" s="23">
        <v>0</v>
      </c>
      <c r="K34" s="20"/>
    </row>
    <row r="35" spans="1:11" x14ac:dyDescent="0.25">
      <c r="A35" s="19" t="s">
        <v>82</v>
      </c>
      <c r="B35" s="19" t="s">
        <v>76</v>
      </c>
      <c r="C35" s="30">
        <v>0.4259</v>
      </c>
      <c r="D35" s="30">
        <v>0.4259</v>
      </c>
      <c r="E35" s="30">
        <v>0</v>
      </c>
      <c r="F35" s="23">
        <v>0</v>
      </c>
      <c r="G35" s="22">
        <v>16.2</v>
      </c>
      <c r="H35" s="22">
        <v>16.2</v>
      </c>
      <c r="I35" s="22">
        <v>0</v>
      </c>
      <c r="J35" s="23">
        <v>0</v>
      </c>
      <c r="K35" s="20"/>
    </row>
    <row r="36" spans="1:11" x14ac:dyDescent="0.25">
      <c r="A36" s="19" t="s">
        <v>67</v>
      </c>
      <c r="B36" s="19" t="s">
        <v>65</v>
      </c>
      <c r="C36" s="30">
        <v>0.46339999999999998</v>
      </c>
      <c r="D36" s="30">
        <v>0.46339999999999998</v>
      </c>
      <c r="E36" s="30">
        <v>0</v>
      </c>
      <c r="F36" s="23">
        <v>0</v>
      </c>
      <c r="G36" s="22">
        <v>39.4</v>
      </c>
      <c r="H36" s="22">
        <v>39.4</v>
      </c>
      <c r="I36" s="22">
        <v>0</v>
      </c>
      <c r="J36" s="23">
        <v>0</v>
      </c>
      <c r="K36" s="20"/>
    </row>
    <row r="37" spans="1:11" x14ac:dyDescent="0.25">
      <c r="A37" s="19" t="s">
        <v>68</v>
      </c>
      <c r="B37" s="19" t="s">
        <v>65</v>
      </c>
      <c r="C37" s="30">
        <v>0.60019999999999996</v>
      </c>
      <c r="D37" s="30">
        <v>0.60019999999999996</v>
      </c>
      <c r="E37" s="30">
        <v>0</v>
      </c>
      <c r="F37" s="23">
        <v>0</v>
      </c>
      <c r="G37" s="22">
        <v>38.799999999999997</v>
      </c>
      <c r="H37" s="22">
        <v>38.799999999999997</v>
      </c>
      <c r="I37" s="22">
        <v>0</v>
      </c>
      <c r="J37" s="23">
        <v>0</v>
      </c>
      <c r="K37" s="20"/>
    </row>
    <row r="38" spans="1:11" x14ac:dyDescent="0.25">
      <c r="A38" s="19" t="s">
        <v>74</v>
      </c>
      <c r="B38" s="19" t="s">
        <v>65</v>
      </c>
      <c r="C38" s="30">
        <v>0.53820000000000001</v>
      </c>
      <c r="D38" s="30">
        <v>0.53820000000000001</v>
      </c>
      <c r="E38" s="30">
        <v>0</v>
      </c>
      <c r="F38" s="23">
        <v>0</v>
      </c>
      <c r="G38" s="22">
        <v>22.7</v>
      </c>
      <c r="H38" s="22">
        <v>22.7</v>
      </c>
      <c r="I38" s="22">
        <v>0</v>
      </c>
      <c r="J38" s="23">
        <v>0</v>
      </c>
      <c r="K38" s="20"/>
    </row>
    <row r="39" spans="1:11" x14ac:dyDescent="0.25">
      <c r="A39" s="19" t="s">
        <v>66</v>
      </c>
      <c r="B39" s="19" t="s">
        <v>65</v>
      </c>
      <c r="C39" s="30">
        <v>0.41909999999999997</v>
      </c>
      <c r="D39" s="30">
        <v>0.41909999999999997</v>
      </c>
      <c r="E39" s="30">
        <v>0</v>
      </c>
      <c r="F39" s="23">
        <v>0</v>
      </c>
      <c r="G39" s="22">
        <v>10.9</v>
      </c>
      <c r="H39" s="22">
        <v>10.9</v>
      </c>
      <c r="I39" s="22">
        <v>0</v>
      </c>
      <c r="J39" s="23">
        <v>0</v>
      </c>
      <c r="K39" s="20"/>
    </row>
    <row r="40" spans="1:11" x14ac:dyDescent="0.25">
      <c r="A40" s="19" t="s">
        <v>61</v>
      </c>
      <c r="B40" s="19" t="s">
        <v>59</v>
      </c>
      <c r="C40" s="30">
        <v>1.45</v>
      </c>
      <c r="D40" s="30">
        <v>1.45</v>
      </c>
      <c r="E40" s="30">
        <v>0</v>
      </c>
      <c r="F40" s="23">
        <v>0</v>
      </c>
      <c r="G40" s="22">
        <v>8</v>
      </c>
      <c r="H40" s="22">
        <v>8</v>
      </c>
      <c r="I40" s="22">
        <v>0</v>
      </c>
      <c r="J40" s="23">
        <v>0</v>
      </c>
      <c r="K40" s="20"/>
    </row>
    <row r="41" spans="1:11" x14ac:dyDescent="0.25">
      <c r="A41" s="19" t="s">
        <v>60</v>
      </c>
      <c r="B41" s="19" t="s">
        <v>59</v>
      </c>
      <c r="C41" s="30">
        <v>0.76</v>
      </c>
      <c r="D41" s="30">
        <v>0.76</v>
      </c>
      <c r="E41" s="30">
        <v>0</v>
      </c>
      <c r="F41" s="23">
        <v>0</v>
      </c>
      <c r="G41" s="22">
        <v>11</v>
      </c>
      <c r="H41" s="22">
        <v>11</v>
      </c>
      <c r="I41" s="22">
        <v>0</v>
      </c>
      <c r="J41" s="23">
        <v>0</v>
      </c>
      <c r="K41" s="20"/>
    </row>
    <row r="42" spans="1:11" x14ac:dyDescent="0.25">
      <c r="A42" s="19" t="s">
        <v>63</v>
      </c>
      <c r="B42" s="19" t="s">
        <v>59</v>
      </c>
      <c r="C42" s="30">
        <v>2.5</v>
      </c>
      <c r="D42" s="30">
        <v>2.5</v>
      </c>
      <c r="E42" s="30">
        <v>0</v>
      </c>
      <c r="F42" s="23">
        <v>0</v>
      </c>
      <c r="G42" s="22">
        <v>20</v>
      </c>
      <c r="H42" s="22">
        <v>20</v>
      </c>
      <c r="I42" s="22">
        <v>0</v>
      </c>
      <c r="J42" s="23">
        <v>0</v>
      </c>
      <c r="K42" s="20"/>
    </row>
    <row r="43" spans="1:11" x14ac:dyDescent="0.25">
      <c r="A43" s="19" t="s">
        <v>62</v>
      </c>
      <c r="B43" s="19" t="s">
        <v>59</v>
      </c>
      <c r="C43" s="30">
        <v>1.3</v>
      </c>
      <c r="D43" s="30">
        <v>1.3</v>
      </c>
      <c r="E43" s="30">
        <v>0</v>
      </c>
      <c r="F43" s="23">
        <v>0</v>
      </c>
      <c r="G43" s="22">
        <v>10</v>
      </c>
      <c r="H43" s="22">
        <v>10</v>
      </c>
      <c r="I43" s="22">
        <v>0</v>
      </c>
      <c r="J43" s="23">
        <v>0</v>
      </c>
      <c r="K43" s="20"/>
    </row>
    <row r="44" spans="1:11" x14ac:dyDescent="0.25">
      <c r="A44" s="19" t="s">
        <v>58</v>
      </c>
      <c r="B44" s="19" t="s">
        <v>59</v>
      </c>
      <c r="C44" s="30">
        <v>0.88</v>
      </c>
      <c r="D44" s="30">
        <v>0.88</v>
      </c>
      <c r="E44" s="30">
        <v>0</v>
      </c>
      <c r="F44" s="23">
        <v>0</v>
      </c>
      <c r="G44" s="22">
        <v>8</v>
      </c>
      <c r="H44" s="22">
        <v>8</v>
      </c>
      <c r="I44" s="22">
        <v>0</v>
      </c>
      <c r="J44" s="23">
        <v>0</v>
      </c>
      <c r="K44" s="20"/>
    </row>
    <row r="45" spans="1:11" x14ac:dyDescent="0.25">
      <c r="A45" s="19" t="s">
        <v>96</v>
      </c>
      <c r="B45" s="19" t="s">
        <v>95</v>
      </c>
      <c r="C45" s="30">
        <v>1.5</v>
      </c>
      <c r="D45" s="30">
        <v>1.5</v>
      </c>
      <c r="E45" s="30">
        <v>0</v>
      </c>
      <c r="F45" s="23">
        <v>0</v>
      </c>
      <c r="G45" s="22">
        <v>10</v>
      </c>
      <c r="H45" s="22">
        <v>10</v>
      </c>
      <c r="I45" s="22">
        <v>0</v>
      </c>
      <c r="J45" s="23">
        <v>0</v>
      </c>
      <c r="K45" s="20"/>
    </row>
    <row r="46" spans="1:11" x14ac:dyDescent="0.25">
      <c r="A46" s="19" t="s">
        <v>99</v>
      </c>
      <c r="B46" s="19" t="s">
        <v>95</v>
      </c>
      <c r="C46" s="30">
        <v>1.25</v>
      </c>
      <c r="D46" s="30">
        <v>1.25</v>
      </c>
      <c r="E46" s="30">
        <v>0</v>
      </c>
      <c r="F46" s="23">
        <v>0</v>
      </c>
      <c r="G46" s="22">
        <v>10</v>
      </c>
      <c r="H46" s="22">
        <v>10</v>
      </c>
      <c r="I46" s="22">
        <v>0</v>
      </c>
      <c r="J46" s="23">
        <v>0</v>
      </c>
      <c r="K46" s="20"/>
    </row>
    <row r="47" spans="1:11" x14ac:dyDescent="0.25">
      <c r="A47" s="19" t="s">
        <v>98</v>
      </c>
      <c r="B47" s="19" t="s">
        <v>95</v>
      </c>
      <c r="C47" s="30">
        <v>1.8</v>
      </c>
      <c r="D47" s="30">
        <v>1.8</v>
      </c>
      <c r="E47" s="30">
        <v>0</v>
      </c>
      <c r="F47" s="23">
        <v>0</v>
      </c>
      <c r="G47" s="22">
        <v>12</v>
      </c>
      <c r="H47" s="22">
        <v>12</v>
      </c>
      <c r="I47" s="22">
        <v>0</v>
      </c>
      <c r="J47" s="23">
        <v>0</v>
      </c>
      <c r="K47" s="20"/>
    </row>
    <row r="48" spans="1:11" x14ac:dyDescent="0.25">
      <c r="A48" s="19" t="s">
        <v>97</v>
      </c>
      <c r="B48" s="19" t="s">
        <v>95</v>
      </c>
      <c r="C48" s="30">
        <v>1</v>
      </c>
      <c r="D48" s="30">
        <v>1</v>
      </c>
      <c r="E48" s="30">
        <v>0</v>
      </c>
      <c r="F48" s="23">
        <v>0</v>
      </c>
      <c r="G48" s="22">
        <v>5</v>
      </c>
      <c r="H48" s="22">
        <v>5</v>
      </c>
      <c r="I48" s="22">
        <v>0</v>
      </c>
      <c r="J48" s="23">
        <v>0</v>
      </c>
      <c r="K48" s="20"/>
    </row>
    <row r="49" spans="1:11" x14ac:dyDescent="0.25">
      <c r="A49" s="19" t="s">
        <v>137</v>
      </c>
      <c r="B49" s="19" t="s">
        <v>138</v>
      </c>
      <c r="C49" s="30">
        <v>3</v>
      </c>
      <c r="D49" s="30">
        <v>3</v>
      </c>
      <c r="E49" s="30">
        <v>0</v>
      </c>
      <c r="F49" s="23">
        <v>0</v>
      </c>
      <c r="G49" s="22">
        <v>12</v>
      </c>
      <c r="H49" s="22">
        <v>12</v>
      </c>
      <c r="I49" s="22">
        <v>0</v>
      </c>
      <c r="J49" s="23">
        <v>0</v>
      </c>
      <c r="K49" s="20"/>
    </row>
    <row r="50" spans="1:11" x14ac:dyDescent="0.25">
      <c r="A50" s="19" t="s">
        <v>139</v>
      </c>
      <c r="B50" s="19" t="s">
        <v>138</v>
      </c>
      <c r="C50" s="30">
        <v>2</v>
      </c>
      <c r="D50" s="30">
        <v>2</v>
      </c>
      <c r="E50" s="30">
        <v>0</v>
      </c>
      <c r="F50" s="23">
        <v>0</v>
      </c>
      <c r="G50" s="22">
        <v>15</v>
      </c>
      <c r="H50" s="22">
        <v>15</v>
      </c>
      <c r="I50" s="22">
        <v>0</v>
      </c>
      <c r="J50" s="23">
        <v>0</v>
      </c>
      <c r="K50" s="20"/>
    </row>
    <row r="51" spans="1:11" x14ac:dyDescent="0.25">
      <c r="A51" s="19" t="s">
        <v>140</v>
      </c>
      <c r="B51" s="19" t="s">
        <v>138</v>
      </c>
      <c r="C51" s="30">
        <v>1.4</v>
      </c>
      <c r="D51" s="30">
        <v>1.4</v>
      </c>
      <c r="E51" s="30">
        <v>0</v>
      </c>
      <c r="F51" s="23">
        <v>0</v>
      </c>
      <c r="G51" s="22">
        <v>12</v>
      </c>
      <c r="H51" s="22">
        <v>12</v>
      </c>
      <c r="I51" s="22">
        <v>0</v>
      </c>
      <c r="J51" s="23">
        <v>0</v>
      </c>
      <c r="K51" s="20"/>
    </row>
    <row r="52" spans="1:11" x14ac:dyDescent="0.25">
      <c r="A52" s="19" t="s">
        <v>141</v>
      </c>
      <c r="B52" s="19" t="s">
        <v>138</v>
      </c>
      <c r="C52" s="30">
        <v>2.25</v>
      </c>
      <c r="D52" s="30">
        <v>2.25</v>
      </c>
      <c r="E52" s="30">
        <v>0</v>
      </c>
      <c r="F52" s="23">
        <v>0</v>
      </c>
      <c r="G52" s="22">
        <v>15</v>
      </c>
      <c r="H52" s="22">
        <v>15</v>
      </c>
      <c r="I52" s="22">
        <v>0</v>
      </c>
      <c r="J52" s="23">
        <v>0</v>
      </c>
      <c r="K52" s="20"/>
    </row>
    <row r="53" spans="1:11" x14ac:dyDescent="0.25">
      <c r="A53" s="19" t="s">
        <v>92</v>
      </c>
      <c r="B53" s="19" t="s">
        <v>86</v>
      </c>
      <c r="C53" s="30">
        <v>1.2</v>
      </c>
      <c r="D53" s="30">
        <v>1.2</v>
      </c>
      <c r="E53" s="30">
        <v>0</v>
      </c>
      <c r="F53" s="23">
        <v>0</v>
      </c>
      <c r="G53" s="22">
        <v>15</v>
      </c>
      <c r="H53" s="22">
        <v>15</v>
      </c>
      <c r="I53" s="22">
        <v>0</v>
      </c>
      <c r="J53" s="23">
        <v>0</v>
      </c>
      <c r="K53" s="20"/>
    </row>
    <row r="54" spans="1:11" x14ac:dyDescent="0.25">
      <c r="A54" s="19" t="s">
        <v>85</v>
      </c>
      <c r="B54" s="19" t="s">
        <v>86</v>
      </c>
      <c r="C54" s="30">
        <v>1</v>
      </c>
      <c r="D54" s="30">
        <v>1</v>
      </c>
      <c r="E54" s="30">
        <v>0</v>
      </c>
      <c r="F54" s="23">
        <v>0</v>
      </c>
      <c r="G54" s="22">
        <v>15</v>
      </c>
      <c r="H54" s="22">
        <v>15</v>
      </c>
      <c r="I54" s="22">
        <v>0</v>
      </c>
      <c r="J54" s="23">
        <v>0</v>
      </c>
      <c r="K54" s="20"/>
    </row>
    <row r="55" spans="1:11" x14ac:dyDescent="0.25">
      <c r="A55" s="19" t="s">
        <v>91</v>
      </c>
      <c r="B55" s="19" t="s">
        <v>86</v>
      </c>
      <c r="C55" s="30">
        <v>1.67</v>
      </c>
      <c r="D55" s="30">
        <v>1.67</v>
      </c>
      <c r="E55" s="30">
        <v>0</v>
      </c>
      <c r="F55" s="23">
        <v>0</v>
      </c>
      <c r="G55" s="22">
        <v>12</v>
      </c>
      <c r="H55" s="22">
        <v>12</v>
      </c>
      <c r="I55" s="22">
        <v>0</v>
      </c>
      <c r="J55" s="23">
        <v>0</v>
      </c>
      <c r="K55" s="20"/>
    </row>
    <row r="56" spans="1:11" x14ac:dyDescent="0.25">
      <c r="A56" s="19" t="s">
        <v>90</v>
      </c>
      <c r="B56" s="19" t="s">
        <v>86</v>
      </c>
      <c r="C56" s="30">
        <v>6</v>
      </c>
      <c r="D56" s="30">
        <v>6</v>
      </c>
      <c r="E56" s="30">
        <v>0</v>
      </c>
      <c r="F56" s="23">
        <v>0</v>
      </c>
      <c r="G56" s="22">
        <v>12</v>
      </c>
      <c r="H56" s="22">
        <v>12</v>
      </c>
      <c r="I56" s="22">
        <v>0</v>
      </c>
      <c r="J56" s="23">
        <v>0</v>
      </c>
      <c r="K56" s="20"/>
    </row>
    <row r="57" spans="1:11" x14ac:dyDescent="0.25">
      <c r="A57" s="19" t="s">
        <v>87</v>
      </c>
      <c r="B57" s="19" t="s">
        <v>86</v>
      </c>
      <c r="C57" s="30">
        <v>1.5</v>
      </c>
      <c r="D57" s="30">
        <v>1.5</v>
      </c>
      <c r="E57" s="30">
        <v>0</v>
      </c>
      <c r="F57" s="23">
        <v>0</v>
      </c>
      <c r="G57" s="22">
        <v>12</v>
      </c>
      <c r="H57" s="22">
        <v>12</v>
      </c>
      <c r="I57" s="22">
        <v>0</v>
      </c>
      <c r="J57" s="23">
        <v>0</v>
      </c>
      <c r="K57" s="20"/>
    </row>
    <row r="58" spans="1:11" x14ac:dyDescent="0.25">
      <c r="A58" s="19" t="s">
        <v>89</v>
      </c>
      <c r="B58" s="19" t="s">
        <v>86</v>
      </c>
      <c r="C58" s="30">
        <v>3</v>
      </c>
      <c r="D58" s="30">
        <v>3</v>
      </c>
      <c r="E58" s="30">
        <v>0</v>
      </c>
      <c r="F58" s="23">
        <v>0</v>
      </c>
      <c r="G58" s="22">
        <v>15</v>
      </c>
      <c r="H58" s="22">
        <v>15</v>
      </c>
      <c r="I58" s="22">
        <v>0</v>
      </c>
      <c r="J58" s="23">
        <v>0</v>
      </c>
      <c r="K58" s="20"/>
    </row>
    <row r="59" spans="1:11" x14ac:dyDescent="0.25">
      <c r="A59" s="19" t="s">
        <v>93</v>
      </c>
      <c r="B59" s="19" t="s">
        <v>86</v>
      </c>
      <c r="C59" s="30">
        <v>0.42849999999999999</v>
      </c>
      <c r="D59" s="30">
        <v>0.42849999999999999</v>
      </c>
      <c r="E59" s="30">
        <v>0</v>
      </c>
      <c r="F59" s="23">
        <v>0</v>
      </c>
      <c r="G59" s="22">
        <v>20.8</v>
      </c>
      <c r="H59" s="22">
        <v>20.8</v>
      </c>
      <c r="I59" s="22">
        <v>0</v>
      </c>
      <c r="J59" s="23">
        <v>0</v>
      </c>
      <c r="K59" s="20"/>
    </row>
  </sheetData>
  <mergeCells count="2">
    <mergeCell ref="A2:K2"/>
    <mergeCell ref="A1:K1"/>
  </mergeCells>
  <conditionalFormatting sqref="C5:C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59">
    <cfRule type="colorScale" priority="5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F5:F59">
    <cfRule type="colorScale" priority="6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G5:G5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5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59">
    <cfRule type="colorScale" priority="7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J5:J59">
    <cfRule type="colorScale" priority="8">
      <colorScale>
        <cfvo type="min"/>
        <cfvo type="num" val="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Muzzle Velocity</vt:lpstr>
      <vt:lpstr>Dmg Output, Recoil Var &amp; SIPS</vt:lpstr>
      <vt:lpstr>Full Auto — Recoil Var &amp; SIPS</vt:lpstr>
      <vt:lpstr>Sheet1</vt:lpstr>
      <vt:lpstr>Recoil S2 vs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Lee</cp:lastModifiedBy>
  <dcterms:created xsi:type="dcterms:W3CDTF">2026-06-27T00:09:23Z</dcterms:created>
  <dcterms:modified xsi:type="dcterms:W3CDTF">2026-07-10T01:19:15Z</dcterms:modified>
</cp:coreProperties>
</file>